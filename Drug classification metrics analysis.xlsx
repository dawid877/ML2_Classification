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 2" sheetId="1" r:id="rId4"/>
    <sheet state="visible" name="Problem 2 - algo comparison" sheetId="2" r:id="rId5"/>
    <sheet state="visible" name="Problem 3" sheetId="3" r:id="rId6"/>
    <sheet state="visible" name="Problem 3 - algo comparison" sheetId="4" r:id="rId7"/>
    <sheet state="visible" name="SVM on the test set" sheetId="5" r:id="rId8"/>
  </sheets>
  <definedNames>
    <definedName hidden="1" localSheetId="0" name="_xlnm._FilterDatabase">'Problem 2'!$A$1:$E$73</definedName>
    <definedName hidden="1" localSheetId="2" name="_xlnm._FilterDatabase">'Problem 3'!$A$1:$E$73</definedName>
  </definedNames>
  <calcPr/>
</workbook>
</file>

<file path=xl/sharedStrings.xml><?xml version="1.0" encoding="utf-8"?>
<sst xmlns="http://schemas.openxmlformats.org/spreadsheetml/2006/main" count="1100" uniqueCount="51">
  <si>
    <t>Drug</t>
  </si>
  <si>
    <t>Metric_Type</t>
  </si>
  <si>
    <t>Pre_Tunning</t>
  </si>
  <si>
    <t>Post_Tunning</t>
  </si>
  <si>
    <t>Difference</t>
  </si>
  <si>
    <t>Pre_Tuning</t>
  </si>
  <si>
    <t>Post_Tuning</t>
  </si>
  <si>
    <t>alcohol</t>
  </si>
  <si>
    <t>Base Acc</t>
  </si>
  <si>
    <t>Bal Acc</t>
  </si>
  <si>
    <t>Recall</t>
  </si>
  <si>
    <t>Precision</t>
  </si>
  <si>
    <t>amphet</t>
  </si>
  <si>
    <t>amyl</t>
  </si>
  <si>
    <t>benzos</t>
  </si>
  <si>
    <t>caff</t>
  </si>
  <si>
    <t>cannabis</t>
  </si>
  <si>
    <t>choc</t>
  </si>
  <si>
    <t>coke</t>
  </si>
  <si>
    <t>crack</t>
  </si>
  <si>
    <t>ecstasy</t>
  </si>
  <si>
    <t>heroin</t>
  </si>
  <si>
    <t>ketamine</t>
  </si>
  <si>
    <t>legalh</t>
  </si>
  <si>
    <t>lsd</t>
  </si>
  <si>
    <t>meth</t>
  </si>
  <si>
    <t>mushrooms</t>
  </si>
  <si>
    <t>nicotine</t>
  </si>
  <si>
    <t>vsa</t>
  </si>
  <si>
    <t>Bal Accuracy</t>
  </si>
  <si>
    <t>SGD</t>
  </si>
  <si>
    <t>Random Forest</t>
  </si>
  <si>
    <t>SVM</t>
  </si>
  <si>
    <t>Alcohol</t>
  </si>
  <si>
    <t>Amphet</t>
  </si>
  <si>
    <t>Amyl</t>
  </si>
  <si>
    <t>Benzos</t>
  </si>
  <si>
    <t>Caff</t>
  </si>
  <si>
    <t>Cannabis</t>
  </si>
  <si>
    <t>Choc</t>
  </si>
  <si>
    <t>Coke</t>
  </si>
  <si>
    <t>Crack</t>
  </si>
  <si>
    <t>Ecstasy</t>
  </si>
  <si>
    <t>Heroin</t>
  </si>
  <si>
    <t>Ketamine</t>
  </si>
  <si>
    <t>Legalh</t>
  </si>
  <si>
    <t>LSD</t>
  </si>
  <si>
    <t>Meth</t>
  </si>
  <si>
    <t>Mushrooms</t>
  </si>
  <si>
    <t>Nicotine</t>
  </si>
  <si>
    <t>VSA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</si>
</sst>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57BB8A"/>
        <bgColor rgb="FF57BB8A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164" xfId="0" applyFont="1" applyNumberFormat="1"/>
    <xf borderId="0" fillId="0" fontId="1" numFmtId="0" xfId="0" applyFont="1"/>
    <xf borderId="0" fillId="2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6D01"/>
          <bgColor rgb="FFFF6D01"/>
        </patternFill>
      </fill>
      <border/>
    </dxf>
  </dxfs>
  <tableStyles count="15">
    <tableStyle count="4" pivot="0" name="Problem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blem 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blem 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oblem 2-style 4">
      <tableStyleElement dxfId="2" type="firstRowStripe"/>
      <tableStyleElement dxfId="3" type="secondRowStripe"/>
    </tableStyle>
    <tableStyle count="2" pivot="0" name="Problem 2 - algo comparison-style">
      <tableStyleElement dxfId="2" type="firstRowStripe"/>
      <tableStyleElement dxfId="3" type="secondRowStripe"/>
    </tableStyle>
    <tableStyle count="2" pivot="0" name="Problem 2 - algo comparison-style 2">
      <tableStyleElement dxfId="2" type="firstRowStripe"/>
      <tableStyleElement dxfId="3" type="secondRowStripe"/>
    </tableStyle>
    <tableStyle count="2" pivot="0" name="Problem 2 - algo comparison-style 3">
      <tableStyleElement dxfId="2" type="firstRowStripe"/>
      <tableStyleElement dxfId="3" type="secondRowStripe"/>
    </tableStyle>
    <tableStyle count="4" pivot="0" name="Problem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blem 3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blem 3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oblem 3 - algo comparison-style">
      <tableStyleElement dxfId="2" type="firstRowStripe"/>
      <tableStyleElement dxfId="3" type="secondRowStripe"/>
    </tableStyle>
    <tableStyle count="2" pivot="0" name="Problem 3 - algo comparison-style 2">
      <tableStyleElement dxfId="2" type="firstRowStripe"/>
      <tableStyleElement dxfId="3" type="secondRowStripe"/>
    </tableStyle>
    <tableStyle count="2" pivot="0" name="Problem 3 - algo comparison-style 3">
      <tableStyleElement dxfId="2" type="firstRowStripe"/>
      <tableStyleElement dxfId="3" type="secondRowStripe"/>
    </tableStyle>
    <tableStyle count="4" pivot="0" name="SVM on the test 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VM on the test set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73" displayName="Problem_2._SGD" name="Problem_2._SGD" id="1">
  <autoFilter ref="$A$1:$E$73"/>
  <tableColumns count="5">
    <tableColumn name="Drug" id="1"/>
    <tableColumn name="Metric_Type" id="2"/>
    <tableColumn name="Pre_Tunning" id="3"/>
    <tableColumn name="Post_Tunning" id="4"/>
    <tableColumn name="Difference" id="5"/>
  </tableColumns>
  <tableStyleInfo name="Problem 2-style" showColumnStripes="0" showFirstColumn="1" showLastColumn="1" showRowStripes="1"/>
</table>
</file>

<file path=xl/tables/table2.xml><?xml version="1.0" encoding="utf-8"?>
<table xmlns="http://schemas.openxmlformats.org/spreadsheetml/2006/main" ref="G1:K73" displayName="Problem_2._Random_Forest" name="Problem_2._Random_Forest" id="2">
  <tableColumns count="5">
    <tableColumn name="Drug" id="1"/>
    <tableColumn name="Metric_Type" id="2"/>
    <tableColumn name="Pre_Tuning" id="3"/>
    <tableColumn name="Post_Tuning" id="4"/>
    <tableColumn name="Difference" id="5"/>
  </tableColumns>
  <tableStyleInfo name="Problem 2-style 2" showColumnStripes="0" showFirstColumn="1" showLastColumn="1" showRowStripes="1"/>
</table>
</file>

<file path=xl/tables/table3.xml><?xml version="1.0" encoding="utf-8"?>
<table xmlns="http://schemas.openxmlformats.org/spreadsheetml/2006/main" ref="M1:Q73" displayName="Problem_2._SVM" name="Problem_2._SVM" id="3">
  <tableColumns count="5">
    <tableColumn name="Drug" id="1"/>
    <tableColumn name="Metric_Type" id="2"/>
    <tableColumn name="Pre_Tuning" id="3"/>
    <tableColumn name="Post_Tuning" id="4"/>
    <tableColumn name="Difference" id="5"/>
  </tableColumns>
  <tableStyleInfo name="Problem 2-style 3" showColumnStripes="0" showFirstColumn="1" showLastColumn="1" showRowStripes="1"/>
</table>
</file>

<file path=xl/tables/table4.xml><?xml version="1.0" encoding="utf-8"?>
<table xmlns="http://schemas.openxmlformats.org/spreadsheetml/2006/main" headerRowCount="0" ref="A75:B76" displayName="Table_1" name="Table_1" id="4">
  <tableColumns count="2">
    <tableColumn name="Column1" id="1"/>
    <tableColumn name="Column2" id="2"/>
  </tableColumns>
  <tableStyleInfo name="Problem 2-style 4" showColumnStripes="0" showFirstColumn="1" showLastColumn="1" showRowStripes="1"/>
</table>
</file>

<file path=xl/tables/table5.xml><?xml version="1.0" encoding="utf-8"?>
<table xmlns="http://schemas.openxmlformats.org/spreadsheetml/2006/main" headerRowCount="0" ref="A4:D21" displayName="Table_2" name="Table_2" id="5">
  <tableColumns count="4">
    <tableColumn name="Column1" id="1"/>
    <tableColumn name="Column2" id="2"/>
    <tableColumn name="Column3" id="3"/>
    <tableColumn name="Column4" id="4"/>
  </tableColumns>
  <tableStyleInfo name="Problem 2 - algo comparison-style" showColumnStripes="0" showFirstColumn="1" showLastColumn="1" showRowStripes="1"/>
</table>
</file>

<file path=xl/tables/table6.xml><?xml version="1.0" encoding="utf-8"?>
<table xmlns="http://schemas.openxmlformats.org/spreadsheetml/2006/main" headerRowCount="0" ref="F4:I21" displayName="Table_3" name="Table_3" id="6">
  <tableColumns count="4">
    <tableColumn name="Column1" id="1"/>
    <tableColumn name="Column2" id="2"/>
    <tableColumn name="Column3" id="3"/>
    <tableColumn name="Column4" id="4"/>
  </tableColumns>
  <tableStyleInfo name="Problem 2 - algo comparison-style 2" showColumnStripes="0" showFirstColumn="1" showLastColumn="1" showRowStripes="1"/>
</table>
</file>

<file path=xl/tables/table7.xml><?xml version="1.0" encoding="utf-8"?>
<table xmlns="http://schemas.openxmlformats.org/spreadsheetml/2006/main" headerRowCount="0" ref="K4:N21" displayName="Table_4" name="Table_4" id="7">
  <tableColumns count="4">
    <tableColumn name="Column1" id="1"/>
    <tableColumn name="Column2" id="2"/>
    <tableColumn name="Column3" id="3"/>
    <tableColumn name="Column4" id="4"/>
  </tableColumns>
  <tableStyleInfo name="Problem 2 - algo comparison-style 3" showColumnStripes="0" showFirstColumn="1" showLastColumn="1" showRowStripes="1"/>
</table>
</file>

<file path=xl/tables/table8.xml><?xml version="1.0" encoding="utf-8"?>
<table xmlns="http://schemas.openxmlformats.org/spreadsheetml/2006/main" ref="A1:E73" displayName="Problem_3._SGD" name="Problem_3._SGD" id="8">
  <autoFilter ref="$A$1:$E$73"/>
  <tableColumns count="5">
    <tableColumn name="Drug" id="1"/>
    <tableColumn name="Metric_Type" id="2"/>
    <tableColumn name="Pre_Tuning" id="3"/>
    <tableColumn name="Post_Tuning" id="4"/>
    <tableColumn name="Difference" id="5"/>
  </tableColumns>
  <tableStyleInfo name="Problem 3-style" showColumnStripes="0" showFirstColumn="1" showLastColumn="1" showRowStripes="1"/>
</table>
</file>

<file path=xl/tables/table9.xml><?xml version="1.0" encoding="utf-8"?>
<table xmlns="http://schemas.openxmlformats.org/spreadsheetml/2006/main" ref="G1:K73" displayName="Tabela1" name="Tabela1" id="9">
  <tableColumns count="5">
    <tableColumn name="Drug" id="1"/>
    <tableColumn name="Metric_Type" id="2"/>
    <tableColumn name="Pre_Tuning" id="3"/>
    <tableColumn name="Post_Tuning" id="4"/>
    <tableColumn name="Difference" id="5"/>
  </tableColumns>
  <tableStyleInfo name="Problem 3-style 2" showColumnStripes="0" showFirstColumn="1" showLastColumn="1" showRowStripes="1"/>
</table>
</file>

<file path=xl/tables/table10.xml><?xml version="1.0" encoding="utf-8"?>
<table xmlns="http://schemas.openxmlformats.org/spreadsheetml/2006/main" ref="M1:Q73" displayName="Problem_3._SVM" name="Problem_3._SVM" id="10">
  <tableColumns count="5">
    <tableColumn name="Drug" id="1"/>
    <tableColumn name="Metric_Type" id="2"/>
    <tableColumn name="Pre_Tuning" id="3"/>
    <tableColumn name="Post_Tuning" id="4"/>
    <tableColumn name="Difference" id="5"/>
  </tableColumns>
  <tableStyleInfo name="Problem 3-style 3" showColumnStripes="0" showFirstColumn="1" showLastColumn="1" showRowStripes="1"/>
</table>
</file>

<file path=xl/tables/table11.xml><?xml version="1.0" encoding="utf-8"?>
<table xmlns="http://schemas.openxmlformats.org/spreadsheetml/2006/main" headerRowCount="0" ref="A4:D21" displayName="Table_5" name="Table_5" id="11">
  <tableColumns count="4">
    <tableColumn name="Column1" id="1"/>
    <tableColumn name="Column2" id="2"/>
    <tableColumn name="Column3" id="3"/>
    <tableColumn name="Column4" id="4"/>
  </tableColumns>
  <tableStyleInfo name="Problem 3 - algo comparison-style" showColumnStripes="0" showFirstColumn="1" showLastColumn="1" showRowStripes="1"/>
</table>
</file>

<file path=xl/tables/table12.xml><?xml version="1.0" encoding="utf-8"?>
<table xmlns="http://schemas.openxmlformats.org/spreadsheetml/2006/main" headerRowCount="0" ref="K4:N21" displayName="Table_6" name="Table_6" id="12">
  <tableColumns count="4">
    <tableColumn name="Column1" id="1"/>
    <tableColumn name="Column2" id="2"/>
    <tableColumn name="Column3" id="3"/>
    <tableColumn name="Column4" id="4"/>
  </tableColumns>
  <tableStyleInfo name="Problem 3 - algo comparison-style 2" showColumnStripes="0" showFirstColumn="1" showLastColumn="1" showRowStripes="1"/>
</table>
</file>

<file path=xl/tables/table13.xml><?xml version="1.0" encoding="utf-8"?>
<table xmlns="http://schemas.openxmlformats.org/spreadsheetml/2006/main" headerRowCount="0" ref="F5:I22" displayName="Table_7" name="Table_7" id="13">
  <tableColumns count="4">
    <tableColumn name="Column1" id="1"/>
    <tableColumn name="Column2" id="2"/>
    <tableColumn name="Column3" id="3"/>
    <tableColumn name="Column4" id="4"/>
  </tableColumns>
  <tableStyleInfo name="Problem 3 - algo comparison-style 3" showColumnStripes="0" showFirstColumn="1" showLastColumn="1" showRowStripes="1"/>
</table>
</file>

<file path=xl/tables/table14.xml><?xml version="1.0" encoding="utf-8"?>
<table xmlns="http://schemas.openxmlformats.org/spreadsheetml/2006/main" ref="A1:E19" displayName="SVM_on_test_set" name="SVM_on_test_set" id="14">
  <tableColumns count="5">
    <tableColumn name="Drug" id="1"/>
    <tableColumn name="Base Acc" id="2"/>
    <tableColumn name="Bal Acc" id="3"/>
    <tableColumn name="Recall" id="4"/>
    <tableColumn name="Precision" id="5"/>
  </tableColumns>
  <tableStyleInfo name="SVM on the test set-style" showColumnStripes="0" showFirstColumn="1" showLastColumn="1" showRowStripes="1"/>
</table>
</file>

<file path=xl/tables/table15.xml><?xml version="1.0" encoding="utf-8"?>
<table xmlns="http://schemas.openxmlformats.org/spreadsheetml/2006/main" ref="G1:J19" displayName="SVM_with_extended_Xs" name="SVM_with_extended_Xs" id="15">
  <tableColumns count="4">
    <tableColumn name="Drug" id="1"/>
    <tableColumn name="Bal Acc" id="2"/>
    <tableColumn name="Recall" id="3"/>
    <tableColumn name="Precision" id="4"/>
  </tableColumns>
  <tableStyleInfo name="SVM on the test se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1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5"/>
    <col customWidth="1" min="3" max="3" width="14.63"/>
    <col customWidth="1" min="4" max="4" width="15.63"/>
    <col customWidth="1" min="5" max="5" width="16.38"/>
    <col customWidth="1" min="8" max="8" width="14.5"/>
    <col customWidth="1" min="9" max="9" width="17.0"/>
    <col customWidth="1" min="10" max="10" width="17.88"/>
    <col customWidth="1" min="11" max="11" width="16.38"/>
    <col customWidth="1" min="14" max="14" width="14.5"/>
    <col customWidth="1" min="15" max="15" width="13.75"/>
    <col customWidth="1" min="16" max="16" width="14.63"/>
    <col customWidth="1" min="17" max="17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5</v>
      </c>
      <c r="J1" s="1" t="s">
        <v>6</v>
      </c>
      <c r="K1" s="1" t="s">
        <v>4</v>
      </c>
      <c r="M1" s="1" t="s">
        <v>0</v>
      </c>
      <c r="N1" s="1" t="s">
        <v>1</v>
      </c>
      <c r="O1" s="1" t="s">
        <v>5</v>
      </c>
      <c r="P1" s="1" t="s">
        <v>6</v>
      </c>
      <c r="Q1" s="1" t="s">
        <v>4</v>
      </c>
    </row>
    <row r="2" ht="22.5" customHeight="1">
      <c r="A2" s="2" t="s">
        <v>7</v>
      </c>
      <c r="B2" s="2" t="s">
        <v>8</v>
      </c>
      <c r="C2" s="2">
        <v>0.9277</v>
      </c>
      <c r="D2" s="2">
        <v>0.9277</v>
      </c>
      <c r="E2" s="3">
        <f t="shared" ref="E2:E73" si="1">(D2-C2)/C2</f>
        <v>0</v>
      </c>
      <c r="G2" s="2" t="s">
        <v>7</v>
      </c>
      <c r="H2" s="2" t="s">
        <v>8</v>
      </c>
      <c r="I2" s="4">
        <v>0.9277</v>
      </c>
      <c r="J2" s="4">
        <v>0.9277</v>
      </c>
      <c r="K2" s="3">
        <f t="shared" ref="K2:K73" si="2">(J2-I2)/I2</f>
        <v>0</v>
      </c>
      <c r="M2" s="2" t="s">
        <v>7</v>
      </c>
      <c r="N2" s="2" t="s">
        <v>8</v>
      </c>
      <c r="O2" s="2">
        <v>0.9277</v>
      </c>
      <c r="P2" s="2">
        <v>0.9277</v>
      </c>
      <c r="Q2" s="3">
        <f t="shared" ref="Q2:Q73" si="3">(P2-O2)/O2</f>
        <v>0</v>
      </c>
    </row>
    <row r="3" ht="22.5" customHeight="1">
      <c r="A3" s="2" t="s">
        <v>7</v>
      </c>
      <c r="B3" s="2" t="s">
        <v>9</v>
      </c>
      <c r="C3" s="2">
        <v>0.5596</v>
      </c>
      <c r="D3" s="2">
        <v>0.6341</v>
      </c>
      <c r="E3" s="3">
        <f t="shared" si="1"/>
        <v>0.1331308077</v>
      </c>
      <c r="G3" s="2" t="s">
        <v>7</v>
      </c>
      <c r="H3" s="2" t="s">
        <v>9</v>
      </c>
      <c r="I3" s="4">
        <v>0.5</v>
      </c>
      <c r="J3" s="4">
        <v>0.5492</v>
      </c>
      <c r="K3" s="3">
        <f t="shared" si="2"/>
        <v>0.0984</v>
      </c>
      <c r="M3" s="2" t="s">
        <v>7</v>
      </c>
      <c r="N3" s="2" t="s">
        <v>9</v>
      </c>
      <c r="O3" s="2">
        <v>0.6281</v>
      </c>
      <c r="P3" s="2">
        <v>0.6281</v>
      </c>
      <c r="Q3" s="3">
        <f t="shared" si="3"/>
        <v>0</v>
      </c>
    </row>
    <row r="4" ht="22.5" customHeight="1">
      <c r="A4" s="2" t="s">
        <v>7</v>
      </c>
      <c r="B4" s="2" t="s">
        <v>10</v>
      </c>
      <c r="C4" s="2">
        <v>0.6262</v>
      </c>
      <c r="D4" s="2">
        <v>0.6462</v>
      </c>
      <c r="E4" s="3">
        <f t="shared" si="1"/>
        <v>0.03193867774</v>
      </c>
      <c r="G4" s="2" t="s">
        <v>7</v>
      </c>
      <c r="H4" s="2" t="s">
        <v>10</v>
      </c>
      <c r="I4" s="4">
        <v>1.0</v>
      </c>
      <c r="J4" s="4">
        <v>0.97</v>
      </c>
      <c r="K4" s="3">
        <f t="shared" si="2"/>
        <v>-0.03</v>
      </c>
      <c r="M4" s="2" t="s">
        <v>7</v>
      </c>
      <c r="N4" s="2" t="s">
        <v>10</v>
      </c>
      <c r="O4" s="2">
        <v>0.6784</v>
      </c>
      <c r="P4" s="2">
        <v>0.6784</v>
      </c>
      <c r="Q4" s="3">
        <f t="shared" si="3"/>
        <v>0</v>
      </c>
    </row>
    <row r="5" ht="22.5" customHeight="1">
      <c r="A5" s="2" t="s">
        <v>7</v>
      </c>
      <c r="B5" s="2" t="s">
        <v>11</v>
      </c>
      <c r="C5" s="2">
        <v>0.9418</v>
      </c>
      <c r="D5" s="2">
        <v>0.9576</v>
      </c>
      <c r="E5" s="3">
        <f t="shared" si="1"/>
        <v>0.01677638564</v>
      </c>
      <c r="G5" s="2" t="s">
        <v>7</v>
      </c>
      <c r="H5" s="2" t="s">
        <v>11</v>
      </c>
      <c r="I5" s="4">
        <v>0.9277</v>
      </c>
      <c r="J5" s="4">
        <v>0.9346</v>
      </c>
      <c r="K5" s="3">
        <f t="shared" si="2"/>
        <v>0.007437749272</v>
      </c>
      <c r="M5" s="2" t="s">
        <v>7</v>
      </c>
      <c r="N5" s="2" t="s">
        <v>11</v>
      </c>
      <c r="O5" s="2">
        <v>0.9539</v>
      </c>
      <c r="P5" s="2">
        <v>0.9539</v>
      </c>
      <c r="Q5" s="3">
        <f t="shared" si="3"/>
        <v>0</v>
      </c>
    </row>
    <row r="6" ht="22.5" customHeight="1">
      <c r="A6" s="2" t="s">
        <v>12</v>
      </c>
      <c r="B6" s="2" t="s">
        <v>8</v>
      </c>
      <c r="C6" s="2">
        <v>0.7686</v>
      </c>
      <c r="D6" s="2">
        <v>0.7686</v>
      </c>
      <c r="E6" s="3">
        <f t="shared" si="1"/>
        <v>0</v>
      </c>
      <c r="G6" s="2" t="s">
        <v>12</v>
      </c>
      <c r="H6" s="2" t="s">
        <v>8</v>
      </c>
      <c r="I6" s="4">
        <v>0.7686</v>
      </c>
      <c r="J6" s="4">
        <v>0.7686</v>
      </c>
      <c r="K6" s="3">
        <f t="shared" si="2"/>
        <v>0</v>
      </c>
      <c r="M6" s="2" t="s">
        <v>12</v>
      </c>
      <c r="N6" s="2" t="s">
        <v>8</v>
      </c>
      <c r="O6" s="2">
        <v>0.7686</v>
      </c>
      <c r="P6" s="2">
        <v>0.7686</v>
      </c>
      <c r="Q6" s="3">
        <f t="shared" si="3"/>
        <v>0</v>
      </c>
    </row>
    <row r="7" ht="22.5" customHeight="1">
      <c r="A7" s="2" t="s">
        <v>12</v>
      </c>
      <c r="B7" s="2" t="s">
        <v>9</v>
      </c>
      <c r="C7" s="2">
        <v>0.6905</v>
      </c>
      <c r="D7" s="2">
        <v>0.7519</v>
      </c>
      <c r="E7" s="3">
        <f t="shared" si="1"/>
        <v>0.08892107169</v>
      </c>
      <c r="G7" s="2" t="s">
        <v>12</v>
      </c>
      <c r="H7" s="2" t="s">
        <v>9</v>
      </c>
      <c r="I7" s="4">
        <v>0.6151</v>
      </c>
      <c r="J7" s="4">
        <v>0.742</v>
      </c>
      <c r="K7" s="3">
        <f t="shared" si="2"/>
        <v>0.2063079174</v>
      </c>
      <c r="M7" s="2" t="s">
        <v>12</v>
      </c>
      <c r="N7" s="2" t="s">
        <v>9</v>
      </c>
      <c r="O7" s="2">
        <v>0.7498</v>
      </c>
      <c r="P7" s="2">
        <v>0.7498</v>
      </c>
      <c r="Q7" s="3">
        <f t="shared" si="3"/>
        <v>0</v>
      </c>
    </row>
    <row r="8" ht="22.5" customHeight="1">
      <c r="A8" s="2" t="s">
        <v>12</v>
      </c>
      <c r="B8" s="2" t="s">
        <v>10</v>
      </c>
      <c r="C8" s="2">
        <v>0.67</v>
      </c>
      <c r="D8" s="2">
        <v>0.7739</v>
      </c>
      <c r="E8" s="3">
        <f t="shared" si="1"/>
        <v>0.1550746269</v>
      </c>
      <c r="G8" s="2" t="s">
        <v>12</v>
      </c>
      <c r="H8" s="2" t="s">
        <v>10</v>
      </c>
      <c r="I8" s="4">
        <v>0.3009</v>
      </c>
      <c r="J8" s="4">
        <v>0.6963</v>
      </c>
      <c r="K8" s="3">
        <f t="shared" si="2"/>
        <v>1.314057827</v>
      </c>
      <c r="M8" s="2" t="s">
        <v>12</v>
      </c>
      <c r="N8" s="2" t="s">
        <v>10</v>
      </c>
      <c r="O8" s="2">
        <v>0.7766</v>
      </c>
      <c r="P8" s="2">
        <v>0.7766</v>
      </c>
      <c r="Q8" s="3">
        <f t="shared" si="3"/>
        <v>0</v>
      </c>
    </row>
    <row r="9" ht="22.5" customHeight="1">
      <c r="A9" s="2" t="s">
        <v>12</v>
      </c>
      <c r="B9" s="2" t="s">
        <v>11</v>
      </c>
      <c r="C9" s="2">
        <v>0.4131</v>
      </c>
      <c r="D9" s="2">
        <v>0.4658</v>
      </c>
      <c r="E9" s="3">
        <f t="shared" si="1"/>
        <v>0.1275720165</v>
      </c>
      <c r="G9" s="2" t="s">
        <v>12</v>
      </c>
      <c r="H9" s="2" t="s">
        <v>11</v>
      </c>
      <c r="I9" s="4">
        <v>0.5615</v>
      </c>
      <c r="J9" s="4">
        <v>0.4969</v>
      </c>
      <c r="K9" s="3">
        <f t="shared" si="2"/>
        <v>-0.115048976</v>
      </c>
      <c r="M9" s="2" t="s">
        <v>12</v>
      </c>
      <c r="N9" s="2" t="s">
        <v>11</v>
      </c>
      <c r="O9" s="2">
        <v>0.4596</v>
      </c>
      <c r="P9" s="2">
        <v>0.4596</v>
      </c>
      <c r="Q9" s="3">
        <f t="shared" si="3"/>
        <v>0</v>
      </c>
    </row>
    <row r="10" ht="22.5" customHeight="1">
      <c r="A10" s="2" t="s">
        <v>13</v>
      </c>
      <c r="B10" s="2" t="s">
        <v>8</v>
      </c>
      <c r="C10" s="2">
        <v>0.9297</v>
      </c>
      <c r="D10" s="2">
        <v>0.9297</v>
      </c>
      <c r="E10" s="3">
        <f t="shared" si="1"/>
        <v>0</v>
      </c>
      <c r="G10" s="2" t="s">
        <v>13</v>
      </c>
      <c r="H10" s="2" t="s">
        <v>8</v>
      </c>
      <c r="I10" s="4">
        <v>0.9297</v>
      </c>
      <c r="J10" s="4">
        <v>0.9297</v>
      </c>
      <c r="K10" s="3">
        <f t="shared" si="2"/>
        <v>0</v>
      </c>
      <c r="M10" s="2" t="s">
        <v>13</v>
      </c>
      <c r="N10" s="2" t="s">
        <v>8</v>
      </c>
      <c r="O10" s="2">
        <v>0.9297</v>
      </c>
      <c r="P10" s="2">
        <v>0.9297</v>
      </c>
      <c r="Q10" s="3">
        <f t="shared" si="3"/>
        <v>0</v>
      </c>
    </row>
    <row r="11" ht="22.5" customHeight="1">
      <c r="A11" s="2" t="s">
        <v>13</v>
      </c>
      <c r="B11" s="2" t="s">
        <v>9</v>
      </c>
      <c r="C11" s="2">
        <v>0.6312</v>
      </c>
      <c r="D11" s="2">
        <v>0.6803</v>
      </c>
      <c r="E11" s="3">
        <f t="shared" si="1"/>
        <v>0.07778833967</v>
      </c>
      <c r="G11" s="2" t="s">
        <v>13</v>
      </c>
      <c r="H11" s="2" t="s">
        <v>9</v>
      </c>
      <c r="I11" s="4">
        <v>0.4996</v>
      </c>
      <c r="J11" s="4">
        <v>0.5758</v>
      </c>
      <c r="K11" s="3">
        <f t="shared" si="2"/>
        <v>0.1525220176</v>
      </c>
      <c r="M11" s="2" t="s">
        <v>13</v>
      </c>
      <c r="N11" s="2" t="s">
        <v>9</v>
      </c>
      <c r="O11" s="2">
        <v>0.6937</v>
      </c>
      <c r="P11" s="2">
        <v>0.6985</v>
      </c>
      <c r="Q11" s="3">
        <f t="shared" si="3"/>
        <v>0.006919417616</v>
      </c>
    </row>
    <row r="12" ht="22.5" customHeight="1">
      <c r="A12" s="2" t="s">
        <v>13</v>
      </c>
      <c r="B12" s="2" t="s">
        <v>10</v>
      </c>
      <c r="C12" s="2">
        <v>0.6697</v>
      </c>
      <c r="D12" s="2">
        <v>0.6403</v>
      </c>
      <c r="E12" s="3">
        <f t="shared" si="1"/>
        <v>-0.04390025385</v>
      </c>
      <c r="G12" s="2" t="s">
        <v>13</v>
      </c>
      <c r="H12" s="2" t="s">
        <v>10</v>
      </c>
      <c r="I12" s="4">
        <v>0.0</v>
      </c>
      <c r="J12" s="4">
        <v>0.2358</v>
      </c>
      <c r="K12" s="3" t="str">
        <f t="shared" si="2"/>
        <v>#DIV/0!</v>
      </c>
      <c r="M12" s="2" t="s">
        <v>13</v>
      </c>
      <c r="N12" s="2" t="s">
        <v>10</v>
      </c>
      <c r="O12" s="2">
        <v>0.7169</v>
      </c>
      <c r="P12" s="2">
        <v>0.745</v>
      </c>
      <c r="Q12" s="3">
        <f t="shared" si="3"/>
        <v>0.03919654066</v>
      </c>
    </row>
    <row r="13" ht="22.5" customHeight="1">
      <c r="A13" s="2" t="s">
        <v>13</v>
      </c>
      <c r="B13" s="2" t="s">
        <v>11</v>
      </c>
      <c r="C13" s="2">
        <v>0.1171</v>
      </c>
      <c r="D13" s="2">
        <v>0.1492</v>
      </c>
      <c r="E13" s="3">
        <f t="shared" si="1"/>
        <v>0.2741246798</v>
      </c>
      <c r="G13" s="2" t="s">
        <v>13</v>
      </c>
      <c r="H13" s="2" t="s">
        <v>11</v>
      </c>
      <c r="I13" s="4">
        <v>0.0</v>
      </c>
      <c r="J13" s="4">
        <v>0.1748</v>
      </c>
      <c r="K13" s="3" t="str">
        <f t="shared" si="2"/>
        <v>#DIV/0!</v>
      </c>
      <c r="M13" s="2" t="s">
        <v>13</v>
      </c>
      <c r="N13" s="2" t="s">
        <v>11</v>
      </c>
      <c r="O13" s="2">
        <v>0.1418</v>
      </c>
      <c r="P13" s="2">
        <v>0.1405</v>
      </c>
      <c r="Q13" s="3">
        <f t="shared" si="3"/>
        <v>-0.009167842031</v>
      </c>
    </row>
    <row r="14" ht="22.5" customHeight="1">
      <c r="A14" s="2" t="s">
        <v>14</v>
      </c>
      <c r="B14" s="2" t="s">
        <v>8</v>
      </c>
      <c r="C14" s="2">
        <v>0.7162</v>
      </c>
      <c r="D14" s="2">
        <v>0.7162</v>
      </c>
      <c r="E14" s="3">
        <f t="shared" si="1"/>
        <v>0</v>
      </c>
      <c r="G14" s="2" t="s">
        <v>14</v>
      </c>
      <c r="H14" s="2" t="s">
        <v>8</v>
      </c>
      <c r="I14" s="4">
        <v>0.7162</v>
      </c>
      <c r="J14" s="4">
        <v>0.7162</v>
      </c>
      <c r="K14" s="3">
        <f t="shared" si="2"/>
        <v>0</v>
      </c>
      <c r="M14" s="2" t="s">
        <v>14</v>
      </c>
      <c r="N14" s="2" t="s">
        <v>8</v>
      </c>
      <c r="O14" s="2">
        <v>0.7162</v>
      </c>
      <c r="P14" s="2">
        <v>0.7162</v>
      </c>
      <c r="Q14" s="3">
        <f t="shared" si="3"/>
        <v>0</v>
      </c>
    </row>
    <row r="15" ht="22.5" customHeight="1">
      <c r="A15" s="2" t="s">
        <v>14</v>
      </c>
      <c r="B15" s="2" t="s">
        <v>9</v>
      </c>
      <c r="C15" s="2">
        <v>0.6719</v>
      </c>
      <c r="D15" s="2">
        <v>0.7178</v>
      </c>
      <c r="E15" s="3">
        <f t="shared" si="1"/>
        <v>0.06831373716</v>
      </c>
      <c r="G15" s="2" t="s">
        <v>14</v>
      </c>
      <c r="H15" s="2" t="s">
        <v>9</v>
      </c>
      <c r="I15" s="4">
        <v>0.6068</v>
      </c>
      <c r="J15" s="4">
        <v>0.6999</v>
      </c>
      <c r="K15" s="3">
        <f t="shared" si="2"/>
        <v>0.1534278181</v>
      </c>
      <c r="M15" s="2" t="s">
        <v>14</v>
      </c>
      <c r="N15" s="2" t="s">
        <v>9</v>
      </c>
      <c r="O15" s="2">
        <v>0.7141</v>
      </c>
      <c r="P15" s="2">
        <v>0.7141</v>
      </c>
      <c r="Q15" s="3">
        <f t="shared" si="3"/>
        <v>0</v>
      </c>
    </row>
    <row r="16" ht="22.5" customHeight="1">
      <c r="A16" s="2" t="s">
        <v>14</v>
      </c>
      <c r="B16" s="2" t="s">
        <v>10</v>
      </c>
      <c r="C16" s="2">
        <v>0.7291</v>
      </c>
      <c r="D16" s="2">
        <v>0.7338</v>
      </c>
      <c r="E16" s="3">
        <f t="shared" si="1"/>
        <v>0.006446303662</v>
      </c>
      <c r="G16" s="2" t="s">
        <v>14</v>
      </c>
      <c r="H16" s="2" t="s">
        <v>10</v>
      </c>
      <c r="I16" s="4">
        <v>0.3107</v>
      </c>
      <c r="J16" s="4">
        <v>0.6379</v>
      </c>
      <c r="K16" s="3">
        <f t="shared" si="2"/>
        <v>1.05310589</v>
      </c>
      <c r="M16" s="2" t="s">
        <v>14</v>
      </c>
      <c r="N16" s="2" t="s">
        <v>10</v>
      </c>
      <c r="O16" s="2">
        <v>0.7198</v>
      </c>
      <c r="P16" s="2">
        <v>0.7198</v>
      </c>
      <c r="Q16" s="3">
        <f t="shared" si="3"/>
        <v>0</v>
      </c>
    </row>
    <row r="17" ht="22.5" customHeight="1">
      <c r="A17" s="2" t="s">
        <v>14</v>
      </c>
      <c r="B17" s="2" t="s">
        <v>11</v>
      </c>
      <c r="C17" s="2">
        <v>0.4292</v>
      </c>
      <c r="D17" s="2">
        <v>0.4942</v>
      </c>
      <c r="E17" s="3">
        <f t="shared" si="1"/>
        <v>0.151444548</v>
      </c>
      <c r="G17" s="2" t="s">
        <v>14</v>
      </c>
      <c r="H17" s="2" t="s">
        <v>11</v>
      </c>
      <c r="I17" s="4">
        <v>0.5588</v>
      </c>
      <c r="J17" s="4">
        <v>0.5151</v>
      </c>
      <c r="K17" s="3">
        <f t="shared" si="2"/>
        <v>-0.07820329277</v>
      </c>
      <c r="M17" s="2" t="s">
        <v>14</v>
      </c>
      <c r="N17" s="2" t="s">
        <v>11</v>
      </c>
      <c r="O17" s="2">
        <v>0.4953</v>
      </c>
      <c r="P17" s="2">
        <v>0.4953</v>
      </c>
      <c r="Q17" s="3">
        <f t="shared" si="3"/>
        <v>0</v>
      </c>
    </row>
    <row r="18" ht="22.5" customHeight="1">
      <c r="A18" s="2" t="s">
        <v>15</v>
      </c>
      <c r="B18" s="2" t="s">
        <v>8</v>
      </c>
      <c r="C18" s="2">
        <v>0.9675</v>
      </c>
      <c r="D18" s="2">
        <v>0.9675</v>
      </c>
      <c r="E18" s="3">
        <f t="shared" si="1"/>
        <v>0</v>
      </c>
      <c r="G18" s="2" t="s">
        <v>15</v>
      </c>
      <c r="H18" s="2" t="s">
        <v>8</v>
      </c>
      <c r="I18" s="4">
        <v>0.9675</v>
      </c>
      <c r="J18" s="4">
        <v>0.9675</v>
      </c>
      <c r="K18" s="3">
        <f t="shared" si="2"/>
        <v>0</v>
      </c>
      <c r="M18" s="2" t="s">
        <v>15</v>
      </c>
      <c r="N18" s="2" t="s">
        <v>8</v>
      </c>
      <c r="O18" s="2">
        <v>0.9675</v>
      </c>
      <c r="P18" s="2">
        <v>0.9675</v>
      </c>
      <c r="Q18" s="3">
        <f t="shared" si="3"/>
        <v>0</v>
      </c>
    </row>
    <row r="19" ht="22.5" customHeight="1">
      <c r="A19" s="2" t="s">
        <v>15</v>
      </c>
      <c r="B19" s="2" t="s">
        <v>9</v>
      </c>
      <c r="C19" s="2">
        <v>0.5996</v>
      </c>
      <c r="D19" s="2">
        <v>0.634</v>
      </c>
      <c r="E19" s="3">
        <f t="shared" si="1"/>
        <v>0.05737158105</v>
      </c>
      <c r="G19" s="2" t="s">
        <v>15</v>
      </c>
      <c r="H19" s="2" t="s">
        <v>9</v>
      </c>
      <c r="I19" s="4">
        <v>0.5</v>
      </c>
      <c r="J19" s="4">
        <v>0.5102</v>
      </c>
      <c r="K19" s="3">
        <f t="shared" si="2"/>
        <v>0.0204</v>
      </c>
      <c r="M19" s="2" t="s">
        <v>15</v>
      </c>
      <c r="N19" s="2" t="s">
        <v>9</v>
      </c>
      <c r="O19" s="2">
        <v>0.5923</v>
      </c>
      <c r="P19" s="2">
        <v>0.6232</v>
      </c>
      <c r="Q19" s="3">
        <f t="shared" si="3"/>
        <v>0.05216950869</v>
      </c>
    </row>
    <row r="20" ht="22.5" customHeight="1">
      <c r="A20" s="2" t="s">
        <v>15</v>
      </c>
      <c r="B20" s="2" t="s">
        <v>10</v>
      </c>
      <c r="C20" s="2">
        <v>0.5237</v>
      </c>
      <c r="D20" s="2">
        <v>0.5902</v>
      </c>
      <c r="E20" s="3">
        <f t="shared" si="1"/>
        <v>0.126981096</v>
      </c>
      <c r="G20" s="2" t="s">
        <v>15</v>
      </c>
      <c r="H20" s="2" t="s">
        <v>10</v>
      </c>
      <c r="I20" s="4">
        <v>1.0</v>
      </c>
      <c r="J20" s="4">
        <v>1.2</v>
      </c>
      <c r="K20" s="3">
        <f t="shared" si="2"/>
        <v>0.2</v>
      </c>
      <c r="M20" s="2" t="s">
        <v>15</v>
      </c>
      <c r="N20" s="2" t="s">
        <v>10</v>
      </c>
      <c r="O20" s="2">
        <v>0.6758</v>
      </c>
      <c r="P20" s="2">
        <v>0.5709</v>
      </c>
      <c r="Q20" s="3">
        <f t="shared" si="3"/>
        <v>-0.1552234389</v>
      </c>
    </row>
    <row r="21" ht="22.5" customHeight="1">
      <c r="A21" s="2" t="s">
        <v>15</v>
      </c>
      <c r="B21" s="2" t="s">
        <v>11</v>
      </c>
      <c r="C21" s="2">
        <v>0.9788</v>
      </c>
      <c r="D21" s="2">
        <v>0.9824</v>
      </c>
      <c r="E21" s="3">
        <f t="shared" si="1"/>
        <v>0.003677973028</v>
      </c>
      <c r="G21" s="2" t="s">
        <v>15</v>
      </c>
      <c r="H21" s="2" t="s">
        <v>11</v>
      </c>
      <c r="I21" s="4">
        <v>0.9675</v>
      </c>
      <c r="J21" s="4">
        <v>0.9681</v>
      </c>
      <c r="K21" s="3">
        <f t="shared" si="2"/>
        <v>0.0006201550388</v>
      </c>
      <c r="M21" s="2" t="s">
        <v>15</v>
      </c>
      <c r="N21" s="2" t="s">
        <v>11</v>
      </c>
      <c r="O21" s="2">
        <v>0.9763</v>
      </c>
      <c r="P21" s="2">
        <v>0.9814</v>
      </c>
      <c r="Q21" s="3">
        <f t="shared" si="3"/>
        <v>0.005223804159</v>
      </c>
    </row>
    <row r="22" ht="22.5" customHeight="1">
      <c r="A22" s="2" t="s">
        <v>16</v>
      </c>
      <c r="B22" s="2" t="s">
        <v>8</v>
      </c>
      <c r="C22" s="2">
        <v>0.5298</v>
      </c>
      <c r="D22" s="2">
        <v>0.5298</v>
      </c>
      <c r="E22" s="3">
        <f t="shared" si="1"/>
        <v>0</v>
      </c>
      <c r="G22" s="2" t="s">
        <v>16</v>
      </c>
      <c r="H22" s="2" t="s">
        <v>8</v>
      </c>
      <c r="I22" s="4">
        <v>0.5298</v>
      </c>
      <c r="J22" s="4">
        <v>0.5298</v>
      </c>
      <c r="K22" s="3">
        <f t="shared" si="2"/>
        <v>0</v>
      </c>
      <c r="M22" s="2" t="s">
        <v>16</v>
      </c>
      <c r="N22" s="2" t="s">
        <v>8</v>
      </c>
      <c r="O22" s="2">
        <v>0.5298</v>
      </c>
      <c r="P22" s="2">
        <v>0.5298</v>
      </c>
      <c r="Q22" s="3">
        <f t="shared" si="3"/>
        <v>0</v>
      </c>
    </row>
    <row r="23" ht="22.5" customHeight="1">
      <c r="A23" s="2" t="s">
        <v>16</v>
      </c>
      <c r="B23" s="2" t="s">
        <v>9</v>
      </c>
      <c r="C23" s="2">
        <v>0.7961</v>
      </c>
      <c r="D23" s="2">
        <v>0.8157</v>
      </c>
      <c r="E23" s="3">
        <f t="shared" si="1"/>
        <v>0.02462002261</v>
      </c>
      <c r="G23" s="2" t="s">
        <v>16</v>
      </c>
      <c r="H23" s="2" t="s">
        <v>9</v>
      </c>
      <c r="I23" s="4">
        <v>0.8151</v>
      </c>
      <c r="J23" s="4">
        <v>0.822</v>
      </c>
      <c r="K23" s="3">
        <f t="shared" si="2"/>
        <v>0.008465218992</v>
      </c>
      <c r="M23" s="2" t="s">
        <v>16</v>
      </c>
      <c r="N23" s="2" t="s">
        <v>9</v>
      </c>
      <c r="O23" s="2">
        <v>0.8152</v>
      </c>
      <c r="P23" s="2">
        <v>0.8152</v>
      </c>
      <c r="Q23" s="3">
        <f t="shared" si="3"/>
        <v>0</v>
      </c>
    </row>
    <row r="24" ht="22.5" customHeight="1">
      <c r="A24" s="2" t="s">
        <v>16</v>
      </c>
      <c r="B24" s="2" t="s">
        <v>10</v>
      </c>
      <c r="C24" s="2">
        <v>0.7797</v>
      </c>
      <c r="D24" s="2">
        <v>0.8022</v>
      </c>
      <c r="E24" s="3">
        <f t="shared" si="1"/>
        <v>0.02885725279</v>
      </c>
      <c r="G24" s="2" t="s">
        <v>16</v>
      </c>
      <c r="H24" s="2" t="s">
        <v>10</v>
      </c>
      <c r="I24" s="4">
        <v>0.8348</v>
      </c>
      <c r="J24" s="4">
        <v>0.826</v>
      </c>
      <c r="K24" s="3">
        <f t="shared" si="2"/>
        <v>-0.01054144705</v>
      </c>
      <c r="M24" s="2" t="s">
        <v>16</v>
      </c>
      <c r="N24" s="2" t="s">
        <v>10</v>
      </c>
      <c r="O24" s="2">
        <v>0.7784</v>
      </c>
      <c r="P24" s="2">
        <v>0.7772</v>
      </c>
      <c r="Q24" s="3">
        <f t="shared" si="3"/>
        <v>-0.001541623844</v>
      </c>
    </row>
    <row r="25" ht="22.5" customHeight="1">
      <c r="A25" s="2" t="s">
        <v>16</v>
      </c>
      <c r="B25" s="2" t="s">
        <v>11</v>
      </c>
      <c r="C25" s="2">
        <v>0.8255</v>
      </c>
      <c r="D25" s="2">
        <v>0.8423</v>
      </c>
      <c r="E25" s="3">
        <f t="shared" si="1"/>
        <v>0.02035130224</v>
      </c>
      <c r="G25" s="2" t="s">
        <v>16</v>
      </c>
      <c r="H25" s="2" t="s">
        <v>11</v>
      </c>
      <c r="I25" s="4">
        <v>0.8214</v>
      </c>
      <c r="J25" s="4">
        <v>0.8365</v>
      </c>
      <c r="K25" s="3">
        <f t="shared" si="2"/>
        <v>0.01838324811</v>
      </c>
      <c r="M25" s="2" t="s">
        <v>16</v>
      </c>
      <c r="N25" s="2" t="s">
        <v>11</v>
      </c>
      <c r="O25" s="2">
        <v>0.8558</v>
      </c>
      <c r="P25" s="2">
        <v>0.8571</v>
      </c>
      <c r="Q25" s="3">
        <f t="shared" si="3"/>
        <v>0.001519046506</v>
      </c>
    </row>
    <row r="26" ht="22.5" customHeight="1">
      <c r="A26" s="2" t="s">
        <v>17</v>
      </c>
      <c r="B26" s="2" t="s">
        <v>8</v>
      </c>
      <c r="C26" s="2">
        <v>0.9761</v>
      </c>
      <c r="D26" s="2">
        <v>0.9761</v>
      </c>
      <c r="E26" s="3">
        <f t="shared" si="1"/>
        <v>0</v>
      </c>
      <c r="G26" s="2" t="s">
        <v>17</v>
      </c>
      <c r="H26" s="2" t="s">
        <v>8</v>
      </c>
      <c r="I26" s="4">
        <v>0.9761</v>
      </c>
      <c r="J26" s="4">
        <v>0.9761</v>
      </c>
      <c r="K26" s="3">
        <f t="shared" si="2"/>
        <v>0</v>
      </c>
      <c r="M26" s="2" t="s">
        <v>17</v>
      </c>
      <c r="N26" s="2" t="s">
        <v>8</v>
      </c>
      <c r="O26" s="2">
        <v>0.9761</v>
      </c>
      <c r="P26" s="2">
        <v>0.9761</v>
      </c>
      <c r="Q26" s="3">
        <f t="shared" si="3"/>
        <v>0</v>
      </c>
    </row>
    <row r="27" ht="22.5" customHeight="1">
      <c r="A27" s="2" t="s">
        <v>17</v>
      </c>
      <c r="B27" s="2" t="s">
        <v>9</v>
      </c>
      <c r="C27" s="2">
        <v>0.5814</v>
      </c>
      <c r="D27" s="2">
        <v>0.5881</v>
      </c>
      <c r="E27" s="3">
        <f t="shared" si="1"/>
        <v>0.01152390781</v>
      </c>
      <c r="G27" s="2" t="s">
        <v>17</v>
      </c>
      <c r="H27" s="2" t="s">
        <v>9</v>
      </c>
      <c r="I27" s="4">
        <v>0.5</v>
      </c>
      <c r="J27" s="4">
        <v>0.5</v>
      </c>
      <c r="K27" s="3">
        <f t="shared" si="2"/>
        <v>0</v>
      </c>
      <c r="M27" s="2" t="s">
        <v>17</v>
      </c>
      <c r="N27" s="2" t="s">
        <v>9</v>
      </c>
      <c r="O27" s="2">
        <v>0.5923</v>
      </c>
      <c r="P27" s="2">
        <v>0.6399</v>
      </c>
      <c r="Q27" s="3">
        <f t="shared" si="3"/>
        <v>0.08036468006</v>
      </c>
    </row>
    <row r="28" ht="22.5" customHeight="1">
      <c r="A28" s="2" t="s">
        <v>17</v>
      </c>
      <c r="B28" s="2" t="s">
        <v>10</v>
      </c>
      <c r="C28" s="2">
        <v>0.6843</v>
      </c>
      <c r="D28" s="2">
        <v>0.5368</v>
      </c>
      <c r="E28" s="3">
        <f t="shared" si="1"/>
        <v>-0.2155487359</v>
      </c>
      <c r="G28" s="2" t="s">
        <v>17</v>
      </c>
      <c r="H28" s="2" t="s">
        <v>10</v>
      </c>
      <c r="I28" s="4">
        <v>1.0</v>
      </c>
      <c r="J28" s="4">
        <v>1.2</v>
      </c>
      <c r="K28" s="3">
        <f t="shared" si="2"/>
        <v>0.2</v>
      </c>
      <c r="M28" s="2" t="s">
        <v>17</v>
      </c>
      <c r="N28" s="2" t="s">
        <v>10</v>
      </c>
      <c r="O28" s="2">
        <v>0.6488</v>
      </c>
      <c r="P28" s="2">
        <v>0.6584</v>
      </c>
      <c r="Q28" s="3">
        <f t="shared" si="3"/>
        <v>0.01479654747</v>
      </c>
    </row>
    <row r="29" ht="22.5" customHeight="1">
      <c r="A29" s="2" t="s">
        <v>17</v>
      </c>
      <c r="B29" s="2" t="s">
        <v>11</v>
      </c>
      <c r="C29" s="2">
        <v>0.9813</v>
      </c>
      <c r="D29" s="2">
        <v>0.9835</v>
      </c>
      <c r="E29" s="3">
        <f t="shared" si="1"/>
        <v>0.002241923978</v>
      </c>
      <c r="G29" s="2" t="s">
        <v>17</v>
      </c>
      <c r="H29" s="2" t="s">
        <v>11</v>
      </c>
      <c r="I29" s="4">
        <v>0.9761</v>
      </c>
      <c r="J29" s="4">
        <v>0.9761</v>
      </c>
      <c r="K29" s="3">
        <f t="shared" si="2"/>
        <v>0</v>
      </c>
      <c r="M29" s="2" t="s">
        <v>17</v>
      </c>
      <c r="N29" s="2" t="s">
        <v>11</v>
      </c>
      <c r="O29" s="2">
        <v>0.983</v>
      </c>
      <c r="P29" s="2">
        <v>0.9861</v>
      </c>
      <c r="Q29" s="3">
        <f t="shared" si="3"/>
        <v>0.003153611394</v>
      </c>
    </row>
    <row r="30" ht="22.5" customHeight="1">
      <c r="A30" s="2" t="s">
        <v>18</v>
      </c>
      <c r="B30" s="2" t="s">
        <v>8</v>
      </c>
      <c r="C30" s="2">
        <v>0.7785</v>
      </c>
      <c r="D30" s="2">
        <v>0.7785</v>
      </c>
      <c r="E30" s="3">
        <f t="shared" si="1"/>
        <v>0</v>
      </c>
      <c r="G30" s="2" t="s">
        <v>18</v>
      </c>
      <c r="H30" s="2" t="s">
        <v>8</v>
      </c>
      <c r="I30" s="4">
        <v>0.7785</v>
      </c>
      <c r="J30" s="4">
        <v>0.7785</v>
      </c>
      <c r="K30" s="3">
        <f t="shared" si="2"/>
        <v>0</v>
      </c>
      <c r="M30" s="2" t="s">
        <v>18</v>
      </c>
      <c r="N30" s="2" t="s">
        <v>8</v>
      </c>
      <c r="O30" s="2">
        <v>0.7785</v>
      </c>
      <c r="P30" s="2">
        <v>0.7785</v>
      </c>
      <c r="Q30" s="3">
        <f t="shared" si="3"/>
        <v>0</v>
      </c>
    </row>
    <row r="31" ht="22.5" customHeight="1">
      <c r="A31" s="2" t="s">
        <v>18</v>
      </c>
      <c r="B31" s="2" t="s">
        <v>9</v>
      </c>
      <c r="C31" s="2">
        <v>0.6462</v>
      </c>
      <c r="D31" s="2">
        <v>0.7069</v>
      </c>
      <c r="E31" s="3">
        <f t="shared" si="1"/>
        <v>0.09393376664</v>
      </c>
      <c r="G31" s="2" t="s">
        <v>18</v>
      </c>
      <c r="H31" s="2" t="s">
        <v>9</v>
      </c>
      <c r="I31" s="4">
        <v>0.5442</v>
      </c>
      <c r="J31" s="4">
        <v>0.6796</v>
      </c>
      <c r="K31" s="3">
        <f t="shared" si="2"/>
        <v>0.2488055862</v>
      </c>
      <c r="M31" s="2" t="s">
        <v>18</v>
      </c>
      <c r="N31" s="2" t="s">
        <v>9</v>
      </c>
      <c r="O31" s="2">
        <v>0.7154</v>
      </c>
      <c r="P31" s="2">
        <v>0.7213</v>
      </c>
      <c r="Q31" s="3">
        <f t="shared" si="3"/>
        <v>0.00824713447</v>
      </c>
    </row>
    <row r="32" ht="22.5" customHeight="1">
      <c r="A32" s="2" t="s">
        <v>18</v>
      </c>
      <c r="B32" s="2" t="s">
        <v>10</v>
      </c>
      <c r="C32" s="2">
        <v>0.6594</v>
      </c>
      <c r="D32" s="2">
        <v>0.7127</v>
      </c>
      <c r="E32" s="3">
        <f t="shared" si="1"/>
        <v>0.08083105854</v>
      </c>
      <c r="G32" s="2" t="s">
        <v>18</v>
      </c>
      <c r="H32" s="2" t="s">
        <v>10</v>
      </c>
      <c r="I32" s="4">
        <v>0.1377</v>
      </c>
      <c r="J32" s="4">
        <v>0.5569</v>
      </c>
      <c r="K32" s="3">
        <f t="shared" si="2"/>
        <v>3.044299201</v>
      </c>
      <c r="M32" s="2" t="s">
        <v>18</v>
      </c>
      <c r="N32" s="2" t="s">
        <v>10</v>
      </c>
      <c r="O32" s="2">
        <v>0.7333</v>
      </c>
      <c r="P32" s="2">
        <v>0.7722</v>
      </c>
      <c r="Q32" s="3">
        <f t="shared" si="3"/>
        <v>0.05304786581</v>
      </c>
    </row>
    <row r="33" ht="22.5" customHeight="1">
      <c r="A33" s="2" t="s">
        <v>18</v>
      </c>
      <c r="B33" s="2" t="s">
        <v>11</v>
      </c>
      <c r="C33" s="2">
        <v>0.3395</v>
      </c>
      <c r="D33" s="2">
        <v>0.4051</v>
      </c>
      <c r="E33" s="3">
        <f t="shared" si="1"/>
        <v>0.1932253314</v>
      </c>
      <c r="G33" s="2" t="s">
        <v>18</v>
      </c>
      <c r="H33" s="2" t="s">
        <v>11</v>
      </c>
      <c r="I33" s="4">
        <v>0.4423</v>
      </c>
      <c r="J33" s="4">
        <v>0.445</v>
      </c>
      <c r="K33" s="3">
        <f t="shared" si="2"/>
        <v>0.006104453991</v>
      </c>
      <c r="M33" s="2" t="s">
        <v>18</v>
      </c>
      <c r="N33" s="2" t="s">
        <v>11</v>
      </c>
      <c r="O33" s="2">
        <v>0.4082</v>
      </c>
      <c r="P33" s="2">
        <v>0.3996</v>
      </c>
      <c r="Q33" s="3">
        <f t="shared" si="3"/>
        <v>-0.02106810387</v>
      </c>
    </row>
    <row r="34" ht="22.5" customHeight="1">
      <c r="A34" s="2" t="s">
        <v>19</v>
      </c>
      <c r="B34" s="2" t="s">
        <v>8</v>
      </c>
      <c r="C34" s="2">
        <v>0.9582</v>
      </c>
      <c r="D34" s="2">
        <v>0.9582</v>
      </c>
      <c r="E34" s="3">
        <f t="shared" si="1"/>
        <v>0</v>
      </c>
      <c r="G34" s="2" t="s">
        <v>19</v>
      </c>
      <c r="H34" s="2" t="s">
        <v>8</v>
      </c>
      <c r="I34" s="4">
        <v>0.9582</v>
      </c>
      <c r="J34" s="4">
        <v>0.9582</v>
      </c>
      <c r="K34" s="3">
        <f t="shared" si="2"/>
        <v>0</v>
      </c>
      <c r="M34" s="2" t="s">
        <v>19</v>
      </c>
      <c r="N34" s="2" t="s">
        <v>8</v>
      </c>
      <c r="O34" s="2">
        <v>0.9582</v>
      </c>
      <c r="P34" s="2">
        <v>0.9582</v>
      </c>
      <c r="Q34" s="3">
        <f t="shared" si="3"/>
        <v>0</v>
      </c>
    </row>
    <row r="35" ht="22.5" customHeight="1">
      <c r="A35" s="2" t="s">
        <v>19</v>
      </c>
      <c r="B35" s="2" t="s">
        <v>9</v>
      </c>
      <c r="C35" s="2">
        <v>0.7165</v>
      </c>
      <c r="D35" s="2">
        <v>0.7527</v>
      </c>
      <c r="E35" s="3">
        <f t="shared" si="1"/>
        <v>0.05052337753</v>
      </c>
      <c r="G35" s="2" t="s">
        <v>19</v>
      </c>
      <c r="H35" s="2" t="s">
        <v>9</v>
      </c>
      <c r="I35" s="4">
        <v>0.5</v>
      </c>
      <c r="J35" s="4">
        <v>0.6107</v>
      </c>
      <c r="K35" s="3">
        <f t="shared" si="2"/>
        <v>0.2214</v>
      </c>
      <c r="M35" s="2" t="s">
        <v>19</v>
      </c>
      <c r="N35" s="2" t="s">
        <v>9</v>
      </c>
      <c r="O35" s="2">
        <v>0.724</v>
      </c>
      <c r="P35" s="2">
        <v>0.7348</v>
      </c>
      <c r="Q35" s="3">
        <f t="shared" si="3"/>
        <v>0.01491712707</v>
      </c>
    </row>
    <row r="36" ht="22.5" customHeight="1">
      <c r="A36" s="2" t="s">
        <v>19</v>
      </c>
      <c r="B36" s="2" t="s">
        <v>10</v>
      </c>
      <c r="C36" s="2">
        <v>0.6974</v>
      </c>
      <c r="D36" s="2">
        <v>0.8064</v>
      </c>
      <c r="E36" s="3">
        <f t="shared" si="1"/>
        <v>0.1562948093</v>
      </c>
      <c r="G36" s="2" t="s">
        <v>19</v>
      </c>
      <c r="H36" s="2" t="s">
        <v>10</v>
      </c>
      <c r="I36" s="4">
        <v>0.0</v>
      </c>
      <c r="J36" s="4">
        <v>0.2857</v>
      </c>
      <c r="K36" s="3" t="str">
        <f t="shared" si="2"/>
        <v>#DIV/0!</v>
      </c>
      <c r="M36" s="2" t="s">
        <v>19</v>
      </c>
      <c r="N36" s="2" t="s">
        <v>10</v>
      </c>
      <c r="O36" s="2">
        <v>0.7282</v>
      </c>
      <c r="P36" s="2">
        <v>0.7603</v>
      </c>
      <c r="Q36" s="3">
        <f t="shared" si="3"/>
        <v>0.04408129635</v>
      </c>
    </row>
    <row r="37" ht="22.5" customHeight="1">
      <c r="A37" s="2" t="s">
        <v>19</v>
      </c>
      <c r="B37" s="2" t="s">
        <v>11</v>
      </c>
      <c r="C37" s="2">
        <v>0.1078</v>
      </c>
      <c r="D37" s="2">
        <v>0.1048</v>
      </c>
      <c r="E37" s="3">
        <f t="shared" si="1"/>
        <v>-0.02782931354</v>
      </c>
      <c r="G37" s="2" t="s">
        <v>19</v>
      </c>
      <c r="H37" s="2" t="s">
        <v>11</v>
      </c>
      <c r="I37" s="4">
        <v>0.0</v>
      </c>
      <c r="J37" s="4">
        <v>0.1622</v>
      </c>
      <c r="K37" s="3" t="str">
        <f t="shared" si="2"/>
        <v>#DIV/0!</v>
      </c>
      <c r="M37" s="2" t="s">
        <v>19</v>
      </c>
      <c r="N37" s="2" t="s">
        <v>11</v>
      </c>
      <c r="O37" s="2">
        <v>0.102</v>
      </c>
      <c r="P37" s="2">
        <v>0.1028</v>
      </c>
      <c r="Q37" s="3">
        <f t="shared" si="3"/>
        <v>0.007843137255</v>
      </c>
    </row>
    <row r="38" ht="22.5" customHeight="1">
      <c r="A38" s="2" t="s">
        <v>20</v>
      </c>
      <c r="B38" s="2" t="s">
        <v>8</v>
      </c>
      <c r="C38" s="2">
        <v>0.7255</v>
      </c>
      <c r="D38" s="2">
        <v>0.7255</v>
      </c>
      <c r="E38" s="3">
        <f t="shared" si="1"/>
        <v>0</v>
      </c>
      <c r="G38" s="2" t="s">
        <v>20</v>
      </c>
      <c r="H38" s="2" t="s">
        <v>8</v>
      </c>
      <c r="I38" s="4">
        <v>0.7255</v>
      </c>
      <c r="J38" s="4">
        <v>0.7255</v>
      </c>
      <c r="K38" s="3">
        <f t="shared" si="2"/>
        <v>0</v>
      </c>
      <c r="M38" s="2" t="s">
        <v>20</v>
      </c>
      <c r="N38" s="2" t="s">
        <v>8</v>
      </c>
      <c r="O38" s="2">
        <v>0.7255</v>
      </c>
      <c r="P38" s="2">
        <v>0.7255</v>
      </c>
      <c r="Q38" s="3">
        <f t="shared" si="3"/>
        <v>0</v>
      </c>
    </row>
    <row r="39" ht="22.5" customHeight="1">
      <c r="A39" s="2" t="s">
        <v>20</v>
      </c>
      <c r="B39" s="2" t="s">
        <v>9</v>
      </c>
      <c r="C39" s="2">
        <v>0.7157</v>
      </c>
      <c r="D39" s="2">
        <v>0.7501</v>
      </c>
      <c r="E39" s="3">
        <f t="shared" si="1"/>
        <v>0.04806483163</v>
      </c>
      <c r="G39" s="2" t="s">
        <v>20</v>
      </c>
      <c r="H39" s="2" t="s">
        <v>9</v>
      </c>
      <c r="I39" s="4">
        <v>0.6428</v>
      </c>
      <c r="J39" s="4">
        <v>0.7446</v>
      </c>
      <c r="K39" s="3">
        <f t="shared" si="2"/>
        <v>0.1583696329</v>
      </c>
      <c r="M39" s="2" t="s">
        <v>20</v>
      </c>
      <c r="N39" s="2" t="s">
        <v>9</v>
      </c>
      <c r="O39" s="2">
        <v>0.7457</v>
      </c>
      <c r="P39" s="2">
        <v>0.7497</v>
      </c>
      <c r="Q39" s="3">
        <f t="shared" si="3"/>
        <v>0.005364087435</v>
      </c>
    </row>
    <row r="40" ht="22.5" customHeight="1">
      <c r="A40" s="2" t="s">
        <v>20</v>
      </c>
      <c r="B40" s="2" t="s">
        <v>10</v>
      </c>
      <c r="C40" s="2">
        <v>0.6882</v>
      </c>
      <c r="D40" s="2">
        <v>0.7826</v>
      </c>
      <c r="E40" s="3">
        <f t="shared" si="1"/>
        <v>0.1371694275</v>
      </c>
      <c r="G40" s="2" t="s">
        <v>20</v>
      </c>
      <c r="H40" s="2" t="s">
        <v>10</v>
      </c>
      <c r="I40" s="4">
        <v>0.3961</v>
      </c>
      <c r="J40" s="4">
        <v>0.7077</v>
      </c>
      <c r="K40" s="3">
        <f t="shared" si="2"/>
        <v>0.7866700328</v>
      </c>
      <c r="M40" s="2" t="s">
        <v>20</v>
      </c>
      <c r="N40" s="2" t="s">
        <v>10</v>
      </c>
      <c r="O40" s="2">
        <v>0.7609</v>
      </c>
      <c r="P40" s="2">
        <v>0.7947</v>
      </c>
      <c r="Q40" s="3">
        <f t="shared" si="3"/>
        <v>0.0444210803</v>
      </c>
    </row>
    <row r="41" ht="22.5" customHeight="1">
      <c r="A41" s="2" t="s">
        <v>20</v>
      </c>
      <c r="B41" s="2" t="s">
        <v>11</v>
      </c>
      <c r="C41" s="2">
        <v>0.5067</v>
      </c>
      <c r="D41" s="2">
        <v>0.513</v>
      </c>
      <c r="E41" s="3">
        <f t="shared" si="1"/>
        <v>0.01243339254</v>
      </c>
      <c r="G41" s="2" t="s">
        <v>20</v>
      </c>
      <c r="H41" s="2" t="s">
        <v>11</v>
      </c>
      <c r="I41" s="4">
        <v>0.5754</v>
      </c>
      <c r="J41" s="4">
        <v>0.5508</v>
      </c>
      <c r="K41" s="3">
        <f t="shared" si="2"/>
        <v>-0.04275286757</v>
      </c>
      <c r="M41" s="2" t="s">
        <v>20</v>
      </c>
      <c r="N41" s="2" t="s">
        <v>11</v>
      </c>
      <c r="O41" s="2">
        <v>0.5179</v>
      </c>
      <c r="P41" s="2">
        <v>0.506</v>
      </c>
      <c r="Q41" s="3">
        <f t="shared" si="3"/>
        <v>-0.02297740877</v>
      </c>
    </row>
    <row r="42" ht="22.5" customHeight="1">
      <c r="A42" s="2" t="s">
        <v>21</v>
      </c>
      <c r="B42" s="2" t="s">
        <v>8</v>
      </c>
      <c r="C42" s="2">
        <v>0.9377</v>
      </c>
      <c r="D42" s="2">
        <v>0.9377</v>
      </c>
      <c r="E42" s="3">
        <f t="shared" si="1"/>
        <v>0</v>
      </c>
      <c r="G42" s="2" t="s">
        <v>21</v>
      </c>
      <c r="H42" s="2" t="s">
        <v>8</v>
      </c>
      <c r="I42" s="4">
        <v>0.9377</v>
      </c>
      <c r="J42" s="4">
        <v>0.9377</v>
      </c>
      <c r="K42" s="3">
        <f t="shared" si="2"/>
        <v>0</v>
      </c>
      <c r="M42" s="2" t="s">
        <v>21</v>
      </c>
      <c r="N42" s="2" t="s">
        <v>8</v>
      </c>
      <c r="O42" s="2">
        <v>0.9377</v>
      </c>
      <c r="P42" s="2">
        <v>0.9377</v>
      </c>
      <c r="Q42" s="3">
        <f t="shared" si="3"/>
        <v>0</v>
      </c>
    </row>
    <row r="43" ht="22.5" customHeight="1">
      <c r="A43" s="2" t="s">
        <v>21</v>
      </c>
      <c r="B43" s="2" t="s">
        <v>9</v>
      </c>
      <c r="C43" s="2">
        <v>0.6197</v>
      </c>
      <c r="D43" s="2">
        <v>0.7392</v>
      </c>
      <c r="E43" s="3">
        <f t="shared" si="1"/>
        <v>0.1928352429</v>
      </c>
      <c r="G43" s="2" t="s">
        <v>21</v>
      </c>
      <c r="H43" s="2" t="s">
        <v>9</v>
      </c>
      <c r="I43" s="4">
        <v>0.505</v>
      </c>
      <c r="J43" s="4">
        <v>0.6224</v>
      </c>
      <c r="K43" s="3">
        <f t="shared" si="2"/>
        <v>0.2324752475</v>
      </c>
      <c r="M43" s="2" t="s">
        <v>21</v>
      </c>
      <c r="N43" s="2" t="s">
        <v>9</v>
      </c>
      <c r="O43" s="2">
        <v>0.7591</v>
      </c>
      <c r="P43" s="2">
        <v>0.7652</v>
      </c>
      <c r="Q43" s="3">
        <f t="shared" si="3"/>
        <v>0.008035831906</v>
      </c>
    </row>
    <row r="44" ht="22.5" customHeight="1">
      <c r="A44" s="2" t="s">
        <v>21</v>
      </c>
      <c r="B44" s="2" t="s">
        <v>10</v>
      </c>
      <c r="C44" s="2">
        <v>0.5526</v>
      </c>
      <c r="D44" s="2">
        <v>0.7649</v>
      </c>
      <c r="E44" s="3">
        <f t="shared" si="1"/>
        <v>0.3841838581</v>
      </c>
      <c r="G44" s="2" t="s">
        <v>21</v>
      </c>
      <c r="H44" s="2" t="s">
        <v>10</v>
      </c>
      <c r="I44" s="4">
        <v>0.0106</v>
      </c>
      <c r="J44" s="4">
        <v>0.3191</v>
      </c>
      <c r="K44" s="3">
        <f t="shared" si="2"/>
        <v>29.10377358</v>
      </c>
      <c r="M44" s="2" t="s">
        <v>21</v>
      </c>
      <c r="N44" s="2" t="s">
        <v>10</v>
      </c>
      <c r="O44" s="2">
        <v>0.8082</v>
      </c>
      <c r="P44" s="2">
        <v>0.862</v>
      </c>
      <c r="Q44" s="3">
        <f t="shared" si="3"/>
        <v>0.06656768127</v>
      </c>
    </row>
    <row r="45" ht="22.5" customHeight="1">
      <c r="A45" s="2" t="s">
        <v>21</v>
      </c>
      <c r="B45" s="2" t="s">
        <v>11</v>
      </c>
      <c r="C45" s="2">
        <v>0.1285</v>
      </c>
      <c r="D45" s="2">
        <v>0.1513</v>
      </c>
      <c r="E45" s="3">
        <f t="shared" si="1"/>
        <v>0.1774319066</v>
      </c>
      <c r="G45" s="2" t="s">
        <v>21</v>
      </c>
      <c r="H45" s="2" t="s">
        <v>11</v>
      </c>
      <c r="I45" s="4">
        <v>0.5</v>
      </c>
      <c r="J45" s="4">
        <v>0.2222</v>
      </c>
      <c r="K45" s="3">
        <f t="shared" si="2"/>
        <v>-0.5556</v>
      </c>
      <c r="M45" s="2" t="s">
        <v>21</v>
      </c>
      <c r="N45" s="2" t="s">
        <v>11</v>
      </c>
      <c r="O45" s="2">
        <v>0.1566</v>
      </c>
      <c r="P45" s="2">
        <v>0.1471</v>
      </c>
      <c r="Q45" s="3">
        <f t="shared" si="3"/>
        <v>-0.06066411239</v>
      </c>
    </row>
    <row r="46" ht="22.5" customHeight="1">
      <c r="A46" s="2" t="s">
        <v>22</v>
      </c>
      <c r="B46" s="2" t="s">
        <v>8</v>
      </c>
      <c r="C46" s="2">
        <v>0.8899</v>
      </c>
      <c r="D46" s="2">
        <v>0.8899</v>
      </c>
      <c r="E46" s="3">
        <f t="shared" si="1"/>
        <v>0</v>
      </c>
      <c r="G46" s="2" t="s">
        <v>22</v>
      </c>
      <c r="H46" s="2" t="s">
        <v>8</v>
      </c>
      <c r="I46" s="4">
        <v>0.8899</v>
      </c>
      <c r="J46" s="4">
        <v>0.8899</v>
      </c>
      <c r="K46" s="3">
        <f t="shared" si="2"/>
        <v>0</v>
      </c>
      <c r="M46" s="2" t="s">
        <v>22</v>
      </c>
      <c r="N46" s="2" t="s">
        <v>8</v>
      </c>
      <c r="O46" s="2">
        <v>0.8899</v>
      </c>
      <c r="P46" s="2">
        <v>0.8899</v>
      </c>
      <c r="Q46" s="3">
        <f t="shared" si="3"/>
        <v>0</v>
      </c>
    </row>
    <row r="47" ht="22.5" customHeight="1">
      <c r="A47" s="2" t="s">
        <v>22</v>
      </c>
      <c r="B47" s="2" t="s">
        <v>9</v>
      </c>
      <c r="C47" s="2">
        <v>0.6699</v>
      </c>
      <c r="D47" s="2">
        <v>0.7159</v>
      </c>
      <c r="E47" s="3">
        <f t="shared" si="1"/>
        <v>0.06866696522</v>
      </c>
      <c r="G47" s="2" t="s">
        <v>22</v>
      </c>
      <c r="H47" s="2" t="s">
        <v>9</v>
      </c>
      <c r="I47" s="4">
        <v>0.5087</v>
      </c>
      <c r="J47" s="4">
        <v>0.6329</v>
      </c>
      <c r="K47" s="3">
        <f t="shared" si="2"/>
        <v>0.2441517594</v>
      </c>
      <c r="M47" s="2" t="s">
        <v>22</v>
      </c>
      <c r="N47" s="2" t="s">
        <v>9</v>
      </c>
      <c r="O47" s="2">
        <v>0.7131</v>
      </c>
      <c r="P47" s="2">
        <v>0.7235</v>
      </c>
      <c r="Q47" s="3">
        <f t="shared" si="3"/>
        <v>0.01458420979</v>
      </c>
    </row>
    <row r="48" ht="22.5" customHeight="1">
      <c r="A48" s="2" t="s">
        <v>22</v>
      </c>
      <c r="B48" s="2" t="s">
        <v>10</v>
      </c>
      <c r="C48" s="2">
        <v>0.693</v>
      </c>
      <c r="D48" s="2">
        <v>0.7709</v>
      </c>
      <c r="E48" s="3">
        <f t="shared" si="1"/>
        <v>0.1124098124</v>
      </c>
      <c r="G48" s="2" t="s">
        <v>22</v>
      </c>
      <c r="H48" s="2" t="s">
        <v>10</v>
      </c>
      <c r="I48" s="4">
        <v>0.0181</v>
      </c>
      <c r="J48" s="4">
        <v>0.4096</v>
      </c>
      <c r="K48" s="3">
        <f t="shared" si="2"/>
        <v>21.62983425</v>
      </c>
      <c r="M48" s="2" t="s">
        <v>22</v>
      </c>
      <c r="N48" s="2" t="s">
        <v>10</v>
      </c>
      <c r="O48" s="2">
        <v>0.7592</v>
      </c>
      <c r="P48" s="2">
        <v>0.8316</v>
      </c>
      <c r="Q48" s="3">
        <f t="shared" si="3"/>
        <v>0.09536354057</v>
      </c>
    </row>
    <row r="49" ht="22.5" customHeight="1">
      <c r="A49" s="2" t="s">
        <v>22</v>
      </c>
      <c r="B49" s="2" t="s">
        <v>11</v>
      </c>
      <c r="C49" s="2">
        <v>0.1994</v>
      </c>
      <c r="D49" s="2">
        <v>0.2201</v>
      </c>
      <c r="E49" s="3">
        <f t="shared" si="1"/>
        <v>0.1038114343</v>
      </c>
      <c r="G49" s="2" t="s">
        <v>22</v>
      </c>
      <c r="H49" s="2" t="s">
        <v>11</v>
      </c>
      <c r="I49" s="4">
        <v>0.75</v>
      </c>
      <c r="J49" s="4">
        <v>0.2605</v>
      </c>
      <c r="K49" s="3">
        <f t="shared" si="2"/>
        <v>-0.6526666667</v>
      </c>
      <c r="M49" s="2" t="s">
        <v>22</v>
      </c>
      <c r="N49" s="2" t="s">
        <v>11</v>
      </c>
      <c r="O49" s="2">
        <v>0.2201</v>
      </c>
      <c r="P49" s="2">
        <v>0.2109</v>
      </c>
      <c r="Q49" s="3">
        <f t="shared" si="3"/>
        <v>-0.04179918219</v>
      </c>
    </row>
    <row r="50" ht="22.5" customHeight="1">
      <c r="A50" s="2" t="s">
        <v>23</v>
      </c>
      <c r="B50" s="2" t="s">
        <v>8</v>
      </c>
      <c r="C50" s="2">
        <v>0.7009</v>
      </c>
      <c r="D50" s="2">
        <v>0.7009</v>
      </c>
      <c r="E50" s="3">
        <f t="shared" si="1"/>
        <v>0</v>
      </c>
      <c r="G50" s="2" t="s">
        <v>23</v>
      </c>
      <c r="H50" s="2" t="s">
        <v>8</v>
      </c>
      <c r="I50" s="4">
        <v>0.7009</v>
      </c>
      <c r="J50" s="4">
        <v>0.7009</v>
      </c>
      <c r="K50" s="3">
        <f t="shared" si="2"/>
        <v>0</v>
      </c>
      <c r="M50" s="2" t="s">
        <v>23</v>
      </c>
      <c r="N50" s="2" t="s">
        <v>8</v>
      </c>
      <c r="O50" s="2">
        <v>0.7009</v>
      </c>
      <c r="P50" s="2">
        <v>0.7009</v>
      </c>
      <c r="Q50" s="3">
        <f t="shared" si="3"/>
        <v>0</v>
      </c>
    </row>
    <row r="51" ht="22.5" customHeight="1">
      <c r="A51" s="2" t="s">
        <v>23</v>
      </c>
      <c r="B51" s="2" t="s">
        <v>9</v>
      </c>
      <c r="C51" s="2">
        <v>0.7035</v>
      </c>
      <c r="D51" s="2">
        <v>0.7748</v>
      </c>
      <c r="E51" s="3">
        <f t="shared" si="1"/>
        <v>0.1013503909</v>
      </c>
      <c r="G51" s="2" t="s">
        <v>23</v>
      </c>
      <c r="H51" s="2" t="s">
        <v>9</v>
      </c>
      <c r="I51" s="4">
        <v>0.6978</v>
      </c>
      <c r="J51" s="4">
        <v>0.7537</v>
      </c>
      <c r="K51" s="3">
        <f t="shared" si="2"/>
        <v>0.08010891373</v>
      </c>
      <c r="M51" s="2" t="s">
        <v>23</v>
      </c>
      <c r="N51" s="2" t="s">
        <v>9</v>
      </c>
      <c r="O51" s="2">
        <v>0.7649</v>
      </c>
      <c r="P51" s="2">
        <v>0.7681</v>
      </c>
      <c r="Q51" s="3">
        <f t="shared" si="3"/>
        <v>0.004183553406</v>
      </c>
    </row>
    <row r="52" ht="22.5" customHeight="1">
      <c r="A52" s="2" t="s">
        <v>23</v>
      </c>
      <c r="B52" s="2" t="s">
        <v>10</v>
      </c>
      <c r="C52" s="2">
        <v>0.754</v>
      </c>
      <c r="D52" s="2">
        <v>0.7871</v>
      </c>
      <c r="E52" s="3">
        <f t="shared" si="1"/>
        <v>0.04389920424</v>
      </c>
      <c r="G52" s="2" t="s">
        <v>23</v>
      </c>
      <c r="H52" s="2" t="s">
        <v>10</v>
      </c>
      <c r="I52" s="4">
        <v>0.51</v>
      </c>
      <c r="J52" s="4">
        <v>0.6918</v>
      </c>
      <c r="K52" s="3">
        <f t="shared" si="2"/>
        <v>0.3564705882</v>
      </c>
      <c r="M52" s="2" t="s">
        <v>23</v>
      </c>
      <c r="N52" s="2" t="s">
        <v>10</v>
      </c>
      <c r="O52" s="2">
        <v>0.7805</v>
      </c>
      <c r="P52" s="2">
        <v>0.8049</v>
      </c>
      <c r="Q52" s="3">
        <f t="shared" si="3"/>
        <v>0.03126201153</v>
      </c>
    </row>
    <row r="53" ht="22.5" customHeight="1">
      <c r="A53" s="2" t="s">
        <v>23</v>
      </c>
      <c r="B53" s="2" t="s">
        <v>11</v>
      </c>
      <c r="C53" s="2">
        <v>0.5073</v>
      </c>
      <c r="D53" s="2">
        <v>0.5874</v>
      </c>
      <c r="E53" s="3">
        <f t="shared" si="1"/>
        <v>0.1578947368</v>
      </c>
      <c r="G53" s="2" t="s">
        <v>23</v>
      </c>
      <c r="H53" s="2" t="s">
        <v>11</v>
      </c>
      <c r="I53" s="4">
        <v>0.6553</v>
      </c>
      <c r="J53" s="4">
        <v>0.6154</v>
      </c>
      <c r="K53" s="3">
        <f t="shared" si="2"/>
        <v>-0.06088814284</v>
      </c>
      <c r="M53" s="2" t="s">
        <v>23</v>
      </c>
      <c r="N53" s="2" t="s">
        <v>11</v>
      </c>
      <c r="O53" s="2">
        <v>0.5721</v>
      </c>
      <c r="P53" s="2">
        <v>0.5628</v>
      </c>
      <c r="Q53" s="3">
        <f t="shared" si="3"/>
        <v>-0.01625589932</v>
      </c>
    </row>
    <row r="54" ht="22.5" customHeight="1">
      <c r="A54" s="2" t="s">
        <v>24</v>
      </c>
      <c r="B54" s="2" t="s">
        <v>8</v>
      </c>
      <c r="C54" s="2">
        <v>0.7984</v>
      </c>
      <c r="D54" s="2">
        <v>0.7984</v>
      </c>
      <c r="E54" s="3">
        <f t="shared" si="1"/>
        <v>0</v>
      </c>
      <c r="G54" s="2" t="s">
        <v>24</v>
      </c>
      <c r="H54" s="2" t="s">
        <v>8</v>
      </c>
      <c r="I54" s="4">
        <v>0.7984</v>
      </c>
      <c r="J54" s="4">
        <v>0.7984</v>
      </c>
      <c r="K54" s="3">
        <f t="shared" si="2"/>
        <v>0</v>
      </c>
      <c r="M54" s="2" t="s">
        <v>24</v>
      </c>
      <c r="N54" s="2" t="s">
        <v>8</v>
      </c>
      <c r="O54" s="2">
        <v>0.7984</v>
      </c>
      <c r="P54" s="2">
        <v>0.7984</v>
      </c>
      <c r="Q54" s="3">
        <f t="shared" si="3"/>
        <v>0</v>
      </c>
    </row>
    <row r="55" ht="22.5" customHeight="1">
      <c r="A55" s="2" t="s">
        <v>24</v>
      </c>
      <c r="B55" s="2" t="s">
        <v>9</v>
      </c>
      <c r="C55" s="2">
        <v>0.791</v>
      </c>
      <c r="D55" s="2">
        <v>0.8056</v>
      </c>
      <c r="E55" s="3">
        <f t="shared" si="1"/>
        <v>0.01845764855</v>
      </c>
      <c r="G55" s="2" t="s">
        <v>24</v>
      </c>
      <c r="H55" s="2" t="s">
        <v>9</v>
      </c>
      <c r="I55" s="4">
        <v>0.6699</v>
      </c>
      <c r="J55" s="4">
        <v>0.7895</v>
      </c>
      <c r="K55" s="3">
        <f t="shared" si="2"/>
        <v>0.1785341096</v>
      </c>
      <c r="M55" s="2" t="s">
        <v>24</v>
      </c>
      <c r="N55" s="2" t="s">
        <v>9</v>
      </c>
      <c r="O55" s="2">
        <v>0.8076</v>
      </c>
      <c r="P55" s="2">
        <v>0.8076</v>
      </c>
      <c r="Q55" s="3">
        <f t="shared" si="3"/>
        <v>0</v>
      </c>
    </row>
    <row r="56" ht="22.5" customHeight="1">
      <c r="A56" s="2" t="s">
        <v>24</v>
      </c>
      <c r="B56" s="2" t="s">
        <v>10</v>
      </c>
      <c r="C56" s="2">
        <v>0.773</v>
      </c>
      <c r="D56" s="2">
        <v>0.8355</v>
      </c>
      <c r="E56" s="3">
        <f t="shared" si="1"/>
        <v>0.0808538163</v>
      </c>
      <c r="G56" s="2" t="s">
        <v>24</v>
      </c>
      <c r="H56" s="2" t="s">
        <v>10</v>
      </c>
      <c r="I56" s="4">
        <v>0.4079</v>
      </c>
      <c r="J56" s="4">
        <v>0.7401</v>
      </c>
      <c r="K56" s="3">
        <f t="shared" si="2"/>
        <v>0.8144152979</v>
      </c>
      <c r="M56" s="2" t="s">
        <v>24</v>
      </c>
      <c r="N56" s="2" t="s">
        <v>10</v>
      </c>
      <c r="O56" s="2">
        <v>0.842</v>
      </c>
      <c r="P56" s="2">
        <v>0.842</v>
      </c>
      <c r="Q56" s="3">
        <f t="shared" si="3"/>
        <v>0</v>
      </c>
    </row>
    <row r="57" ht="22.5" customHeight="1">
      <c r="A57" s="2" t="s">
        <v>24</v>
      </c>
      <c r="B57" s="2" t="s">
        <v>11</v>
      </c>
      <c r="C57" s="2">
        <v>0.5081</v>
      </c>
      <c r="D57" s="2">
        <v>0.4858</v>
      </c>
      <c r="E57" s="3">
        <f t="shared" si="1"/>
        <v>-0.04388899823</v>
      </c>
      <c r="G57" s="2" t="s">
        <v>24</v>
      </c>
      <c r="H57" s="2" t="s">
        <v>11</v>
      </c>
      <c r="I57" s="4">
        <v>0.6019</v>
      </c>
      <c r="J57" s="4">
        <v>0.537</v>
      </c>
      <c r="K57" s="3">
        <f t="shared" si="2"/>
        <v>-0.1078252201</v>
      </c>
      <c r="M57" s="2" t="s">
        <v>24</v>
      </c>
      <c r="N57" s="2" t="s">
        <v>11</v>
      </c>
      <c r="O57" s="2">
        <v>0.4849</v>
      </c>
      <c r="P57" s="2">
        <v>0.4849</v>
      </c>
      <c r="Q57" s="3">
        <f t="shared" si="3"/>
        <v>0</v>
      </c>
    </row>
    <row r="58" ht="22.5" customHeight="1">
      <c r="A58" s="2" t="s">
        <v>25</v>
      </c>
      <c r="B58" s="2" t="s">
        <v>8</v>
      </c>
      <c r="C58" s="2">
        <v>0.8302</v>
      </c>
      <c r="D58" s="2">
        <v>0.8302</v>
      </c>
      <c r="E58" s="3">
        <f t="shared" si="1"/>
        <v>0</v>
      </c>
      <c r="G58" s="2" t="s">
        <v>25</v>
      </c>
      <c r="H58" s="2" t="s">
        <v>8</v>
      </c>
      <c r="I58" s="4">
        <v>0.8302</v>
      </c>
      <c r="J58" s="4">
        <v>0.8302</v>
      </c>
      <c r="K58" s="3">
        <f t="shared" si="2"/>
        <v>0</v>
      </c>
      <c r="M58" s="2" t="s">
        <v>25</v>
      </c>
      <c r="N58" s="2" t="s">
        <v>8</v>
      </c>
      <c r="O58" s="2">
        <v>0.8302</v>
      </c>
      <c r="P58" s="2">
        <v>0.8302</v>
      </c>
      <c r="Q58" s="3">
        <f t="shared" si="3"/>
        <v>0</v>
      </c>
    </row>
    <row r="59" ht="22.5" customHeight="1">
      <c r="A59" s="2" t="s">
        <v>25</v>
      </c>
      <c r="B59" s="2" t="s">
        <v>9</v>
      </c>
      <c r="C59" s="2">
        <v>0.7299</v>
      </c>
      <c r="D59" s="2">
        <v>0.7381</v>
      </c>
      <c r="E59" s="3">
        <f t="shared" si="1"/>
        <v>0.01123441567</v>
      </c>
      <c r="G59" s="2" t="s">
        <v>25</v>
      </c>
      <c r="H59" s="2" t="s">
        <v>9</v>
      </c>
      <c r="I59" s="4">
        <v>0.5785</v>
      </c>
      <c r="J59" s="4">
        <v>0.7347</v>
      </c>
      <c r="K59" s="3">
        <f t="shared" si="2"/>
        <v>0.270008643</v>
      </c>
      <c r="M59" s="2" t="s">
        <v>25</v>
      </c>
      <c r="N59" s="2" t="s">
        <v>9</v>
      </c>
      <c r="O59" s="2">
        <v>0.7288</v>
      </c>
      <c r="P59" s="2">
        <v>0.7296</v>
      </c>
      <c r="Q59" s="3">
        <f t="shared" si="3"/>
        <v>0.001097694841</v>
      </c>
    </row>
    <row r="60" ht="22.5" customHeight="1">
      <c r="A60" s="2" t="s">
        <v>25</v>
      </c>
      <c r="B60" s="2" t="s">
        <v>10</v>
      </c>
      <c r="C60" s="2">
        <v>0.7969</v>
      </c>
      <c r="D60" s="2">
        <v>0.7774</v>
      </c>
      <c r="E60" s="3">
        <f t="shared" si="1"/>
        <v>-0.02446982055</v>
      </c>
      <c r="G60" s="2" t="s">
        <v>25</v>
      </c>
      <c r="H60" s="2" t="s">
        <v>10</v>
      </c>
      <c r="I60" s="4">
        <v>0.1914</v>
      </c>
      <c r="J60" s="4">
        <v>0.6211</v>
      </c>
      <c r="K60" s="3">
        <f t="shared" si="2"/>
        <v>2.245036573</v>
      </c>
      <c r="M60" s="2" t="s">
        <v>25</v>
      </c>
      <c r="N60" s="2" t="s">
        <v>10</v>
      </c>
      <c r="O60" s="2">
        <v>0.7578</v>
      </c>
      <c r="P60" s="2">
        <v>0.7578</v>
      </c>
      <c r="Q60" s="3">
        <f t="shared" si="3"/>
        <v>0</v>
      </c>
    </row>
    <row r="61" ht="22.5" customHeight="1">
      <c r="A61" s="2" t="s">
        <v>25</v>
      </c>
      <c r="B61" s="2" t="s">
        <v>11</v>
      </c>
      <c r="C61" s="2">
        <v>0.3345</v>
      </c>
      <c r="D61" s="2">
        <v>0.3484</v>
      </c>
      <c r="E61" s="3">
        <f t="shared" si="1"/>
        <v>0.04155455904</v>
      </c>
      <c r="G61" s="2" t="s">
        <v>25</v>
      </c>
      <c r="H61" s="2" t="s">
        <v>11</v>
      </c>
      <c r="I61" s="4">
        <v>0.5326</v>
      </c>
      <c r="J61" s="4">
        <v>0.4556</v>
      </c>
      <c r="K61" s="3">
        <f t="shared" si="2"/>
        <v>-0.144573789</v>
      </c>
      <c r="M61" s="2" t="s">
        <v>25</v>
      </c>
      <c r="N61" s="2" t="s">
        <v>11</v>
      </c>
      <c r="O61" s="2">
        <v>0.3404</v>
      </c>
      <c r="P61" s="2">
        <v>0.3417</v>
      </c>
      <c r="Q61" s="3">
        <f t="shared" si="3"/>
        <v>0.003819036428</v>
      </c>
    </row>
    <row r="62" ht="22.5" customHeight="1">
      <c r="A62" s="2" t="s">
        <v>26</v>
      </c>
      <c r="B62" s="2" t="s">
        <v>8</v>
      </c>
      <c r="C62" s="2">
        <v>0.7699</v>
      </c>
      <c r="D62" s="2">
        <v>0.7699</v>
      </c>
      <c r="E62" s="3">
        <f t="shared" si="1"/>
        <v>0</v>
      </c>
      <c r="G62" s="2" t="s">
        <v>26</v>
      </c>
      <c r="H62" s="2" t="s">
        <v>8</v>
      </c>
      <c r="I62" s="4">
        <v>0.7699</v>
      </c>
      <c r="J62" s="4">
        <v>0.7699</v>
      </c>
      <c r="K62" s="3">
        <f t="shared" si="2"/>
        <v>0</v>
      </c>
      <c r="M62" s="2" t="s">
        <v>26</v>
      </c>
      <c r="N62" s="2" t="s">
        <v>8</v>
      </c>
      <c r="O62" s="2">
        <v>0.7699</v>
      </c>
      <c r="P62" s="2">
        <v>0.7699</v>
      </c>
      <c r="Q62" s="3">
        <f t="shared" si="3"/>
        <v>0</v>
      </c>
    </row>
    <row r="63" ht="22.5" customHeight="1">
      <c r="A63" s="2" t="s">
        <v>26</v>
      </c>
      <c r="B63" s="2" t="s">
        <v>9</v>
      </c>
      <c r="C63" s="2">
        <v>0.781</v>
      </c>
      <c r="D63" s="2">
        <v>0.8068</v>
      </c>
      <c r="E63" s="3">
        <f t="shared" si="1"/>
        <v>0.03303457106</v>
      </c>
      <c r="G63" s="2" t="s">
        <v>26</v>
      </c>
      <c r="H63" s="2" t="s">
        <v>9</v>
      </c>
      <c r="I63" s="4">
        <v>0.68</v>
      </c>
      <c r="J63" s="4">
        <v>0.7899</v>
      </c>
      <c r="K63" s="3">
        <f t="shared" si="2"/>
        <v>0.1616176471</v>
      </c>
      <c r="M63" s="2" t="s">
        <v>26</v>
      </c>
      <c r="N63" s="2" t="s">
        <v>9</v>
      </c>
      <c r="O63" s="2">
        <v>0.8008</v>
      </c>
      <c r="P63" s="2">
        <v>0.8035</v>
      </c>
      <c r="Q63" s="3">
        <f t="shared" si="3"/>
        <v>0.003371628372</v>
      </c>
    </row>
    <row r="64" ht="22.5" customHeight="1">
      <c r="A64" s="2" t="s">
        <v>26</v>
      </c>
      <c r="B64" s="2" t="s">
        <v>10</v>
      </c>
      <c r="C64" s="2">
        <v>0.8214</v>
      </c>
      <c r="D64" s="2">
        <v>0.859</v>
      </c>
      <c r="E64" s="3">
        <f t="shared" si="1"/>
        <v>0.04577550523</v>
      </c>
      <c r="G64" s="2" t="s">
        <v>26</v>
      </c>
      <c r="H64" s="2" t="s">
        <v>10</v>
      </c>
      <c r="I64" s="4">
        <v>0.4496</v>
      </c>
      <c r="J64" s="4">
        <v>0.7522</v>
      </c>
      <c r="K64" s="3">
        <f t="shared" si="2"/>
        <v>0.6730427046</v>
      </c>
      <c r="M64" s="2" t="s">
        <v>26</v>
      </c>
      <c r="N64" s="2" t="s">
        <v>10</v>
      </c>
      <c r="O64" s="2">
        <v>0.8272</v>
      </c>
      <c r="P64" s="2">
        <v>0.8386</v>
      </c>
      <c r="Q64" s="3">
        <f t="shared" si="3"/>
        <v>0.01378143133</v>
      </c>
    </row>
    <row r="65" ht="22.5" customHeight="1">
      <c r="A65" s="2" t="s">
        <v>26</v>
      </c>
      <c r="B65" s="2" t="s">
        <v>11</v>
      </c>
      <c r="C65" s="2">
        <v>0.4896</v>
      </c>
      <c r="D65" s="2">
        <v>0.5113</v>
      </c>
      <c r="E65" s="3">
        <f t="shared" si="1"/>
        <v>0.04432189542</v>
      </c>
      <c r="G65" s="2" t="s">
        <v>26</v>
      </c>
      <c r="H65" s="2" t="s">
        <v>11</v>
      </c>
      <c r="I65" s="4">
        <v>0.6</v>
      </c>
      <c r="J65" s="4">
        <v>0.5662</v>
      </c>
      <c r="K65" s="3">
        <f t="shared" si="2"/>
        <v>-0.05633333333</v>
      </c>
      <c r="M65" s="2" t="s">
        <v>26</v>
      </c>
      <c r="N65" s="2" t="s">
        <v>11</v>
      </c>
      <c r="O65" s="2">
        <v>0.523</v>
      </c>
      <c r="P65" s="2">
        <v>0.5201</v>
      </c>
      <c r="Q65" s="3">
        <f t="shared" si="3"/>
        <v>-0.005544933078</v>
      </c>
    </row>
    <row r="66" ht="22.5" customHeight="1">
      <c r="A66" s="2" t="s">
        <v>27</v>
      </c>
      <c r="B66" s="2" t="s">
        <v>8</v>
      </c>
      <c r="C66" s="2">
        <v>0.5623</v>
      </c>
      <c r="D66" s="2">
        <v>0.5623</v>
      </c>
      <c r="E66" s="3">
        <f t="shared" si="1"/>
        <v>0</v>
      </c>
      <c r="G66" s="2" t="s">
        <v>27</v>
      </c>
      <c r="H66" s="2" t="s">
        <v>8</v>
      </c>
      <c r="I66" s="4">
        <v>0.5623</v>
      </c>
      <c r="J66" s="4">
        <v>0.5623</v>
      </c>
      <c r="K66" s="3">
        <f t="shared" si="2"/>
        <v>0</v>
      </c>
      <c r="M66" s="2" t="s">
        <v>27</v>
      </c>
      <c r="N66" s="2" t="s">
        <v>8</v>
      </c>
      <c r="O66" s="2">
        <v>0.5623</v>
      </c>
      <c r="P66" s="2">
        <v>0.5623</v>
      </c>
      <c r="Q66" s="3">
        <f t="shared" si="3"/>
        <v>0</v>
      </c>
    </row>
    <row r="67" ht="22.5" customHeight="1">
      <c r="A67" s="2" t="s">
        <v>27</v>
      </c>
      <c r="B67" s="2" t="s">
        <v>9</v>
      </c>
      <c r="C67" s="2">
        <v>0.6974</v>
      </c>
      <c r="D67" s="2">
        <v>0.7127</v>
      </c>
      <c r="E67" s="3">
        <f t="shared" si="1"/>
        <v>0.02193862919</v>
      </c>
      <c r="G67" s="2" t="s">
        <v>27</v>
      </c>
      <c r="H67" s="2" t="s">
        <v>9</v>
      </c>
      <c r="I67" s="4">
        <v>0.7232</v>
      </c>
      <c r="J67" s="4">
        <v>0.7238</v>
      </c>
      <c r="K67" s="3">
        <f t="shared" si="2"/>
        <v>0.0008296460177</v>
      </c>
      <c r="M67" s="2" t="s">
        <v>27</v>
      </c>
      <c r="N67" s="2" t="s">
        <v>9</v>
      </c>
      <c r="O67" s="2">
        <v>0.7143</v>
      </c>
      <c r="P67" s="2">
        <v>0.7218</v>
      </c>
      <c r="Q67" s="3">
        <f t="shared" si="3"/>
        <v>0.01049979</v>
      </c>
    </row>
    <row r="68" ht="22.5" customHeight="1">
      <c r="A68" s="2" t="s">
        <v>27</v>
      </c>
      <c r="B68" s="2" t="s">
        <v>10</v>
      </c>
      <c r="C68" s="2">
        <v>0.6675</v>
      </c>
      <c r="D68" s="2">
        <v>0.7087</v>
      </c>
      <c r="E68" s="3">
        <f t="shared" si="1"/>
        <v>0.06172284644</v>
      </c>
      <c r="G68" s="2" t="s">
        <v>27</v>
      </c>
      <c r="H68" s="2" t="s">
        <v>10</v>
      </c>
      <c r="I68" s="4">
        <v>0.7889</v>
      </c>
      <c r="J68" s="4">
        <v>0.737</v>
      </c>
      <c r="K68" s="3">
        <f t="shared" si="2"/>
        <v>-0.06578780581</v>
      </c>
      <c r="M68" s="2" t="s">
        <v>27</v>
      </c>
      <c r="N68" s="2" t="s">
        <v>10</v>
      </c>
      <c r="O68" s="2">
        <v>0.6922</v>
      </c>
      <c r="P68" s="2">
        <v>0.6769</v>
      </c>
      <c r="Q68" s="3">
        <f t="shared" si="3"/>
        <v>-0.02210343831</v>
      </c>
    </row>
    <row r="69" ht="22.5" customHeight="1">
      <c r="A69" s="2" t="s">
        <v>27</v>
      </c>
      <c r="B69" s="2" t="s">
        <v>11</v>
      </c>
      <c r="C69" s="2">
        <v>0.7624</v>
      </c>
      <c r="D69" s="2">
        <v>0.7642</v>
      </c>
      <c r="E69" s="3">
        <f t="shared" si="1"/>
        <v>0.002360965373</v>
      </c>
      <c r="G69" s="2" t="s">
        <v>27</v>
      </c>
      <c r="H69" s="2" t="s">
        <v>11</v>
      </c>
      <c r="I69" s="4">
        <v>0.7475</v>
      </c>
      <c r="J69" s="4">
        <v>0.7659</v>
      </c>
      <c r="K69" s="3">
        <f t="shared" si="2"/>
        <v>0.02461538462</v>
      </c>
      <c r="M69" s="2" t="s">
        <v>27</v>
      </c>
      <c r="N69" s="2" t="s">
        <v>11</v>
      </c>
      <c r="O69" s="2">
        <v>0.7718</v>
      </c>
      <c r="P69" s="2">
        <v>0.7897</v>
      </c>
      <c r="Q69" s="3">
        <f t="shared" si="3"/>
        <v>0.02319253693</v>
      </c>
    </row>
    <row r="70" ht="22.5" customHeight="1">
      <c r="A70" s="2" t="s">
        <v>28</v>
      </c>
      <c r="B70" s="2" t="s">
        <v>8</v>
      </c>
      <c r="C70" s="2">
        <v>0.9496</v>
      </c>
      <c r="D70" s="2">
        <v>0.9496</v>
      </c>
      <c r="E70" s="3">
        <f t="shared" si="1"/>
        <v>0</v>
      </c>
      <c r="G70" s="2" t="s">
        <v>28</v>
      </c>
      <c r="H70" s="2" t="s">
        <v>8</v>
      </c>
      <c r="I70" s="4">
        <v>0.9496</v>
      </c>
      <c r="J70" s="4">
        <v>0.9496</v>
      </c>
      <c r="K70" s="3">
        <f t="shared" si="2"/>
        <v>0</v>
      </c>
      <c r="M70" s="2" t="s">
        <v>28</v>
      </c>
      <c r="N70" s="2" t="s">
        <v>8</v>
      </c>
      <c r="O70" s="2">
        <v>0.9496</v>
      </c>
      <c r="P70" s="2">
        <v>0.9496</v>
      </c>
      <c r="Q70" s="3">
        <f t="shared" si="3"/>
        <v>0</v>
      </c>
    </row>
    <row r="71" ht="22.5" customHeight="1">
      <c r="A71" s="2" t="s">
        <v>28</v>
      </c>
      <c r="B71" s="2" t="s">
        <v>9</v>
      </c>
      <c r="C71" s="2">
        <v>0.6415</v>
      </c>
      <c r="D71" s="2">
        <v>0.6925</v>
      </c>
      <c r="E71" s="3">
        <f t="shared" si="1"/>
        <v>0.07950116913</v>
      </c>
      <c r="G71" s="2" t="s">
        <v>28</v>
      </c>
      <c r="H71" s="2" t="s">
        <v>9</v>
      </c>
      <c r="I71" s="4">
        <v>0.5</v>
      </c>
      <c r="J71" s="4">
        <v>0.5801</v>
      </c>
      <c r="K71" s="3">
        <f t="shared" si="2"/>
        <v>0.1602</v>
      </c>
      <c r="M71" s="2" t="s">
        <v>28</v>
      </c>
      <c r="N71" s="2" t="s">
        <v>9</v>
      </c>
      <c r="O71" s="2">
        <v>0.7033</v>
      </c>
      <c r="P71" s="2">
        <v>0.7145</v>
      </c>
      <c r="Q71" s="3">
        <f t="shared" si="3"/>
        <v>0.01592492535</v>
      </c>
    </row>
    <row r="72" ht="22.5" customHeight="1">
      <c r="A72" s="2" t="s">
        <v>28</v>
      </c>
      <c r="B72" s="2" t="s">
        <v>10</v>
      </c>
      <c r="C72" s="2">
        <v>0.5692</v>
      </c>
      <c r="D72" s="2">
        <v>0.6817</v>
      </c>
      <c r="E72" s="3">
        <f t="shared" si="1"/>
        <v>0.1976458187</v>
      </c>
      <c r="G72" s="2" t="s">
        <v>28</v>
      </c>
      <c r="H72" s="2" t="s">
        <v>10</v>
      </c>
      <c r="I72" s="4">
        <v>0.0</v>
      </c>
      <c r="J72" s="4">
        <v>0.2237</v>
      </c>
      <c r="K72" s="3" t="str">
        <f t="shared" si="2"/>
        <v>#DIV/0!</v>
      </c>
      <c r="M72" s="2" t="s">
        <v>28</v>
      </c>
      <c r="N72" s="2" t="s">
        <v>10</v>
      </c>
      <c r="O72" s="2">
        <v>0.7075</v>
      </c>
      <c r="P72" s="2">
        <v>0.76</v>
      </c>
      <c r="Q72" s="3">
        <f t="shared" si="3"/>
        <v>0.074204947</v>
      </c>
    </row>
    <row r="73" ht="22.5" customHeight="1">
      <c r="A73" s="2" t="s">
        <v>28</v>
      </c>
      <c r="B73" s="2" t="s">
        <v>11</v>
      </c>
      <c r="C73" s="2">
        <v>0.1032</v>
      </c>
      <c r="D73" s="2">
        <v>0.1127</v>
      </c>
      <c r="E73" s="3">
        <f t="shared" si="1"/>
        <v>0.09205426357</v>
      </c>
      <c r="G73" s="2" t="s">
        <v>28</v>
      </c>
      <c r="H73" s="2" t="s">
        <v>11</v>
      </c>
      <c r="I73" s="4">
        <v>0.0</v>
      </c>
      <c r="J73" s="4">
        <v>0.1574</v>
      </c>
      <c r="K73" s="3" t="str">
        <f t="shared" si="2"/>
        <v>#DIV/0!</v>
      </c>
      <c r="M73" s="2" t="s">
        <v>28</v>
      </c>
      <c r="N73" s="2" t="s">
        <v>11</v>
      </c>
      <c r="O73" s="2">
        <v>0.1105</v>
      </c>
      <c r="P73" s="2">
        <v>0.1081</v>
      </c>
      <c r="Q73" s="3">
        <f t="shared" si="3"/>
        <v>-0.02171945701</v>
      </c>
    </row>
    <row r="75">
      <c r="B75" s="5"/>
    </row>
    <row r="76">
      <c r="B76" s="5"/>
    </row>
  </sheetData>
  <conditionalFormatting sqref="E2:E73">
    <cfRule type="cellIs" dxfId="5" priority="1" operator="greaterThan">
      <formula>0</formula>
    </cfRule>
  </conditionalFormatting>
  <conditionalFormatting sqref="E2:E73">
    <cfRule type="cellIs" dxfId="6" priority="2" operator="lessThan">
      <formula>0</formula>
    </cfRule>
  </conditionalFormatting>
  <conditionalFormatting sqref="K2:K73">
    <cfRule type="cellIs" dxfId="5" priority="3" operator="greaterThan">
      <formula>0</formula>
    </cfRule>
  </conditionalFormatting>
  <conditionalFormatting sqref="K2:K73">
    <cfRule type="cellIs" dxfId="6" priority="4" operator="lessThan">
      <formula>0</formula>
    </cfRule>
  </conditionalFormatting>
  <conditionalFormatting sqref="Q2:Q73">
    <cfRule type="cellIs" dxfId="5" priority="5" operator="greaterThan">
      <formula>0</formula>
    </cfRule>
  </conditionalFormatting>
  <conditionalFormatting sqref="Q2:Q73">
    <cfRule type="cellIs" dxfId="6" priority="6" operator="lessThan">
      <formula>0</formula>
    </cfRule>
  </conditionalFormatting>
  <dataValidations>
    <dataValidation type="custom" allowBlank="1" showDropDown="1" sqref="E2:E73 Q2:Q73 I2:K73">
      <formula1>AND(ISNUMBER(E2),(NOT(OR(NOT(ISERROR(DATEVALUE(E2))), AND(ISNUMBER(E2), LEFT(CELL("format", E2))="D")))))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6" t="s">
        <v>29</v>
      </c>
      <c r="H1" s="6" t="s">
        <v>11</v>
      </c>
      <c r="M1" s="6" t="s">
        <v>10</v>
      </c>
    </row>
    <row r="3">
      <c r="B3" s="6" t="s">
        <v>30</v>
      </c>
      <c r="C3" s="6" t="s">
        <v>31</v>
      </c>
      <c r="D3" s="6" t="s">
        <v>32</v>
      </c>
      <c r="G3" s="6" t="s">
        <v>30</v>
      </c>
      <c r="H3" s="6" t="s">
        <v>31</v>
      </c>
      <c r="I3" s="6" t="s">
        <v>32</v>
      </c>
      <c r="L3" s="6" t="s">
        <v>30</v>
      </c>
      <c r="M3" s="6" t="s">
        <v>31</v>
      </c>
      <c r="N3" s="6" t="s">
        <v>32</v>
      </c>
      <c r="P3" s="6" t="s">
        <v>30</v>
      </c>
      <c r="Q3" s="6">
        <v>15.0</v>
      </c>
    </row>
    <row r="4">
      <c r="A4" s="6" t="s">
        <v>7</v>
      </c>
      <c r="B4" s="7">
        <v>0.6341</v>
      </c>
      <c r="C4" s="8">
        <v>0.5492</v>
      </c>
      <c r="D4" s="9">
        <v>0.6281</v>
      </c>
      <c r="F4" s="6" t="s">
        <v>7</v>
      </c>
      <c r="G4" s="10">
        <v>0.9576</v>
      </c>
      <c r="H4" s="11">
        <v>0.9346</v>
      </c>
      <c r="I4" s="6">
        <v>0.9539</v>
      </c>
      <c r="K4" s="6" t="s">
        <v>7</v>
      </c>
      <c r="L4" s="6">
        <v>0.6462</v>
      </c>
      <c r="M4" s="12">
        <v>0.97</v>
      </c>
      <c r="N4" s="6">
        <v>0.6784</v>
      </c>
      <c r="P4" s="6" t="s">
        <v>31</v>
      </c>
      <c r="Q4" s="6">
        <v>20.0</v>
      </c>
    </row>
    <row r="5">
      <c r="A5" s="6" t="s">
        <v>12</v>
      </c>
      <c r="B5" s="10">
        <v>0.7519</v>
      </c>
      <c r="C5" s="11">
        <v>0.742</v>
      </c>
      <c r="D5" s="6">
        <v>0.7498</v>
      </c>
      <c r="F5" s="6" t="s">
        <v>12</v>
      </c>
      <c r="G5" s="6">
        <v>0.4658</v>
      </c>
      <c r="H5" s="12">
        <v>0.4969</v>
      </c>
      <c r="I5" s="6">
        <v>0.4596</v>
      </c>
      <c r="K5" s="6" t="s">
        <v>12</v>
      </c>
      <c r="L5" s="6">
        <v>0.7739</v>
      </c>
      <c r="M5" s="11">
        <v>0.6963</v>
      </c>
      <c r="N5" s="10">
        <v>0.7766</v>
      </c>
      <c r="P5" s="6" t="s">
        <v>32</v>
      </c>
      <c r="Q5" s="6">
        <v>19.0</v>
      </c>
    </row>
    <row r="6">
      <c r="A6" s="6" t="s">
        <v>13</v>
      </c>
      <c r="B6" s="6">
        <v>0.6803</v>
      </c>
      <c r="C6" s="11">
        <v>0.5758</v>
      </c>
      <c r="D6" s="10">
        <v>0.6985</v>
      </c>
      <c r="F6" s="6" t="s">
        <v>13</v>
      </c>
      <c r="G6" s="6">
        <v>0.1492</v>
      </c>
      <c r="H6" s="12">
        <v>0.1748</v>
      </c>
      <c r="I6" s="6">
        <v>0.1405</v>
      </c>
      <c r="K6" s="6" t="s">
        <v>13</v>
      </c>
      <c r="L6" s="6">
        <v>0.6403</v>
      </c>
      <c r="M6" s="11">
        <v>0.2358</v>
      </c>
      <c r="N6" s="10">
        <v>0.745</v>
      </c>
    </row>
    <row r="7">
      <c r="A7" s="6" t="s">
        <v>14</v>
      </c>
      <c r="B7" s="10">
        <v>0.7178</v>
      </c>
      <c r="C7" s="11">
        <v>0.6999</v>
      </c>
      <c r="D7" s="6">
        <v>0.7141</v>
      </c>
      <c r="F7" s="6" t="s">
        <v>14</v>
      </c>
      <c r="G7" s="6">
        <v>0.4942</v>
      </c>
      <c r="H7" s="12">
        <v>0.5151</v>
      </c>
      <c r="I7" s="6">
        <v>0.4953</v>
      </c>
      <c r="K7" s="6" t="s">
        <v>14</v>
      </c>
      <c r="L7" s="10">
        <v>0.7338</v>
      </c>
      <c r="M7" s="11">
        <v>0.6379</v>
      </c>
      <c r="N7" s="6">
        <v>0.7198</v>
      </c>
    </row>
    <row r="8">
      <c r="A8" s="6" t="s">
        <v>15</v>
      </c>
      <c r="B8" s="10">
        <v>0.634</v>
      </c>
      <c r="C8" s="11">
        <v>0.5102</v>
      </c>
      <c r="D8" s="6">
        <v>0.6232</v>
      </c>
      <c r="F8" s="6" t="s">
        <v>15</v>
      </c>
      <c r="G8" s="10">
        <v>0.9824</v>
      </c>
      <c r="H8" s="11">
        <v>0.9681</v>
      </c>
      <c r="I8" s="6">
        <v>0.9814</v>
      </c>
      <c r="K8" s="6" t="s">
        <v>15</v>
      </c>
      <c r="L8" s="6">
        <v>0.5902</v>
      </c>
      <c r="M8" s="12">
        <v>1.0</v>
      </c>
      <c r="N8" s="6">
        <v>0.5709</v>
      </c>
    </row>
    <row r="9">
      <c r="A9" s="6" t="s">
        <v>16</v>
      </c>
      <c r="B9" s="6">
        <v>0.8157</v>
      </c>
      <c r="C9" s="12">
        <v>0.822</v>
      </c>
      <c r="D9" s="6">
        <v>0.8152</v>
      </c>
      <c r="F9" s="6" t="s">
        <v>16</v>
      </c>
      <c r="G9" s="6">
        <v>0.8423</v>
      </c>
      <c r="H9" s="11">
        <v>0.8365</v>
      </c>
      <c r="I9" s="10">
        <v>0.8571</v>
      </c>
      <c r="K9" s="6" t="s">
        <v>16</v>
      </c>
      <c r="L9" s="6">
        <v>0.8022</v>
      </c>
      <c r="M9" s="12">
        <v>0.826</v>
      </c>
      <c r="N9" s="6">
        <v>0.7772</v>
      </c>
    </row>
    <row r="10">
      <c r="A10" s="6" t="s">
        <v>17</v>
      </c>
      <c r="B10" s="6">
        <v>0.5881</v>
      </c>
      <c r="C10" s="11">
        <v>0.5</v>
      </c>
      <c r="D10" s="10">
        <v>0.6399</v>
      </c>
      <c r="F10" s="6" t="s">
        <v>17</v>
      </c>
      <c r="G10" s="6">
        <v>0.9835</v>
      </c>
      <c r="H10" s="11">
        <v>0.9761</v>
      </c>
      <c r="I10" s="10">
        <v>0.9861</v>
      </c>
      <c r="K10" s="6" t="s">
        <v>17</v>
      </c>
      <c r="L10" s="6">
        <v>0.5368</v>
      </c>
      <c r="M10" s="12">
        <v>1.0</v>
      </c>
      <c r="N10" s="6">
        <v>0.6584</v>
      </c>
    </row>
    <row r="11">
      <c r="A11" s="6" t="s">
        <v>18</v>
      </c>
      <c r="B11" s="6">
        <v>0.7069</v>
      </c>
      <c r="C11" s="11">
        <v>0.6796</v>
      </c>
      <c r="D11" s="10">
        <v>0.7213</v>
      </c>
      <c r="F11" s="6" t="s">
        <v>18</v>
      </c>
      <c r="G11" s="6">
        <v>0.4051</v>
      </c>
      <c r="H11" s="12">
        <v>0.445</v>
      </c>
      <c r="I11" s="6">
        <v>0.3996</v>
      </c>
      <c r="K11" s="6" t="s">
        <v>18</v>
      </c>
      <c r="L11" s="6">
        <v>0.7127</v>
      </c>
      <c r="M11" s="11">
        <v>0.5569</v>
      </c>
      <c r="N11" s="10">
        <v>0.7722</v>
      </c>
    </row>
    <row r="12">
      <c r="A12" s="6" t="s">
        <v>19</v>
      </c>
      <c r="B12" s="10">
        <v>0.7527</v>
      </c>
      <c r="C12" s="11">
        <v>0.6107</v>
      </c>
      <c r="D12" s="6">
        <v>0.7348</v>
      </c>
      <c r="F12" s="6" t="s">
        <v>19</v>
      </c>
      <c r="G12" s="6">
        <v>0.1048</v>
      </c>
      <c r="H12" s="12">
        <v>0.1622</v>
      </c>
      <c r="I12" s="6">
        <v>0.1028</v>
      </c>
      <c r="K12" s="6" t="s">
        <v>19</v>
      </c>
      <c r="L12" s="10">
        <v>0.8064</v>
      </c>
      <c r="M12" s="11">
        <v>0.2857</v>
      </c>
      <c r="N12" s="6">
        <v>0.7603</v>
      </c>
    </row>
    <row r="13">
      <c r="A13" s="6" t="s">
        <v>20</v>
      </c>
      <c r="B13" s="10">
        <v>0.7501</v>
      </c>
      <c r="C13" s="11">
        <v>0.7446</v>
      </c>
      <c r="D13" s="6">
        <v>0.7497</v>
      </c>
      <c r="F13" s="6" t="s">
        <v>20</v>
      </c>
      <c r="G13" s="6">
        <v>0.513</v>
      </c>
      <c r="H13" s="12">
        <v>0.5508</v>
      </c>
      <c r="I13" s="6">
        <v>0.506</v>
      </c>
      <c r="K13" s="6" t="s">
        <v>20</v>
      </c>
      <c r="L13" s="6">
        <v>0.7826</v>
      </c>
      <c r="M13" s="11">
        <v>0.7077</v>
      </c>
      <c r="N13" s="10">
        <v>0.7947</v>
      </c>
    </row>
    <row r="14">
      <c r="A14" s="6" t="s">
        <v>21</v>
      </c>
      <c r="B14" s="6">
        <v>0.7392</v>
      </c>
      <c r="C14" s="11">
        <v>0.6224</v>
      </c>
      <c r="D14" s="10">
        <v>0.7652</v>
      </c>
      <c r="F14" s="6" t="s">
        <v>21</v>
      </c>
      <c r="G14" s="6">
        <v>0.1513</v>
      </c>
      <c r="H14" s="12">
        <v>0.2222</v>
      </c>
      <c r="I14" s="6">
        <v>0.1471</v>
      </c>
      <c r="K14" s="6" t="s">
        <v>21</v>
      </c>
      <c r="L14" s="6">
        <v>0.7649</v>
      </c>
      <c r="M14" s="11">
        <v>0.3191</v>
      </c>
      <c r="N14" s="10">
        <v>0.862</v>
      </c>
    </row>
    <row r="15">
      <c r="A15" s="6" t="s">
        <v>22</v>
      </c>
      <c r="B15" s="6">
        <v>0.7159</v>
      </c>
      <c r="C15" s="11">
        <v>0.6329</v>
      </c>
      <c r="D15" s="10">
        <v>0.7235</v>
      </c>
      <c r="F15" s="6" t="s">
        <v>22</v>
      </c>
      <c r="G15" s="6">
        <v>0.2201</v>
      </c>
      <c r="H15" s="12">
        <v>0.2605</v>
      </c>
      <c r="I15" s="6">
        <v>0.2109</v>
      </c>
      <c r="K15" s="6" t="s">
        <v>22</v>
      </c>
      <c r="L15" s="6">
        <v>0.7709</v>
      </c>
      <c r="M15" s="11">
        <v>0.4096</v>
      </c>
      <c r="N15" s="10">
        <v>0.8316</v>
      </c>
    </row>
    <row r="16">
      <c r="A16" s="6" t="s">
        <v>23</v>
      </c>
      <c r="B16" s="10">
        <v>0.7748</v>
      </c>
      <c r="C16" s="11">
        <v>0.7537</v>
      </c>
      <c r="D16" s="6">
        <v>0.7681</v>
      </c>
      <c r="F16" s="6" t="s">
        <v>23</v>
      </c>
      <c r="G16" s="6">
        <v>0.5874</v>
      </c>
      <c r="H16" s="12">
        <v>0.6154</v>
      </c>
      <c r="I16" s="6">
        <v>0.5628</v>
      </c>
      <c r="K16" s="6" t="s">
        <v>23</v>
      </c>
      <c r="L16" s="6">
        <v>0.7871</v>
      </c>
      <c r="M16" s="11">
        <v>0.6918</v>
      </c>
      <c r="N16" s="10">
        <v>0.8049</v>
      </c>
    </row>
    <row r="17">
      <c r="A17" s="6" t="s">
        <v>24</v>
      </c>
      <c r="B17" s="6">
        <v>0.8056</v>
      </c>
      <c r="C17" s="11">
        <v>0.7895</v>
      </c>
      <c r="D17" s="10">
        <v>0.8076</v>
      </c>
      <c r="F17" s="6" t="s">
        <v>24</v>
      </c>
      <c r="G17" s="6">
        <v>0.4858</v>
      </c>
      <c r="H17" s="12">
        <v>0.537</v>
      </c>
      <c r="I17" s="6">
        <v>0.4849</v>
      </c>
      <c r="K17" s="6" t="s">
        <v>24</v>
      </c>
      <c r="L17" s="6">
        <v>0.8355</v>
      </c>
      <c r="M17" s="11">
        <v>0.7401</v>
      </c>
      <c r="N17" s="10">
        <v>0.842</v>
      </c>
    </row>
    <row r="18">
      <c r="A18" s="6" t="s">
        <v>25</v>
      </c>
      <c r="B18" s="10">
        <v>0.7381</v>
      </c>
      <c r="C18" s="11">
        <v>0.7347</v>
      </c>
      <c r="D18" s="6">
        <v>0.7296</v>
      </c>
      <c r="F18" s="6" t="s">
        <v>25</v>
      </c>
      <c r="G18" s="6">
        <v>0.3484</v>
      </c>
      <c r="H18" s="12">
        <v>0.4556</v>
      </c>
      <c r="I18" s="6">
        <v>0.3417</v>
      </c>
      <c r="K18" s="6" t="s">
        <v>25</v>
      </c>
      <c r="L18" s="10">
        <v>0.7774</v>
      </c>
      <c r="M18" s="11">
        <v>0.6211</v>
      </c>
      <c r="N18" s="6">
        <v>0.7578</v>
      </c>
    </row>
    <row r="19">
      <c r="A19" s="6" t="s">
        <v>26</v>
      </c>
      <c r="B19" s="10">
        <v>0.8068</v>
      </c>
      <c r="C19" s="11">
        <v>0.7899</v>
      </c>
      <c r="D19" s="6">
        <v>0.8035</v>
      </c>
      <c r="F19" s="6" t="s">
        <v>26</v>
      </c>
      <c r="G19" s="6">
        <v>0.5113</v>
      </c>
      <c r="H19" s="12">
        <v>0.5662</v>
      </c>
      <c r="I19" s="6">
        <v>0.5201</v>
      </c>
      <c r="K19" s="6" t="s">
        <v>26</v>
      </c>
      <c r="L19" s="10">
        <v>0.859</v>
      </c>
      <c r="M19" s="11">
        <v>0.7522</v>
      </c>
      <c r="N19" s="6">
        <v>0.8386</v>
      </c>
    </row>
    <row r="20">
      <c r="A20" s="6" t="s">
        <v>27</v>
      </c>
      <c r="B20" s="6">
        <v>0.7127</v>
      </c>
      <c r="C20" s="12">
        <v>0.7238</v>
      </c>
      <c r="D20" s="6">
        <v>0.7218</v>
      </c>
      <c r="F20" s="6" t="s">
        <v>27</v>
      </c>
      <c r="G20" s="6">
        <v>0.7642</v>
      </c>
      <c r="H20" s="11">
        <v>0.7659</v>
      </c>
      <c r="I20" s="10">
        <v>0.7897</v>
      </c>
      <c r="K20" s="6" t="s">
        <v>27</v>
      </c>
      <c r="L20" s="6">
        <v>0.7087</v>
      </c>
      <c r="M20" s="12">
        <v>0.737</v>
      </c>
      <c r="N20" s="6">
        <v>0.6769</v>
      </c>
    </row>
    <row r="21">
      <c r="A21" s="6" t="s">
        <v>28</v>
      </c>
      <c r="B21" s="6">
        <v>0.6925</v>
      </c>
      <c r="C21" s="11">
        <v>0.5801</v>
      </c>
      <c r="D21" s="10">
        <v>0.7145</v>
      </c>
      <c r="F21" s="6" t="s">
        <v>28</v>
      </c>
      <c r="G21" s="6">
        <v>0.1127</v>
      </c>
      <c r="H21" s="12">
        <v>0.1574</v>
      </c>
      <c r="I21" s="6">
        <v>0.1081</v>
      </c>
      <c r="K21" s="6" t="s">
        <v>28</v>
      </c>
      <c r="L21" s="6">
        <v>0.6817</v>
      </c>
      <c r="M21" s="11">
        <v>0.2237</v>
      </c>
      <c r="N21" s="10">
        <v>0.76</v>
      </c>
    </row>
    <row r="23">
      <c r="B23" s="6">
        <v>9.0</v>
      </c>
      <c r="C23" s="6">
        <v>2.0</v>
      </c>
      <c r="D23" s="6">
        <v>7.0</v>
      </c>
      <c r="G23" s="6">
        <v>2.0</v>
      </c>
      <c r="H23" s="6">
        <v>13.0</v>
      </c>
      <c r="I23" s="6">
        <v>3.0</v>
      </c>
      <c r="L23" s="6">
        <v>4.0</v>
      </c>
      <c r="M23" s="6">
        <v>5.0</v>
      </c>
      <c r="N23" s="6">
        <v>9.0</v>
      </c>
    </row>
  </sheetData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5"/>
    <col customWidth="1" min="3" max="3" width="13.75"/>
    <col customWidth="1" min="4" max="4" width="14.63"/>
    <col customWidth="1" min="5" max="5" width="16.38"/>
    <col customWidth="1" min="8" max="8" width="14.5"/>
    <col customWidth="1" min="9" max="9" width="13.75"/>
    <col customWidth="1" min="10" max="10" width="14.63"/>
    <col customWidth="1" min="11" max="11" width="16.38"/>
    <col customWidth="1" min="14" max="14" width="14.5"/>
    <col customWidth="1" min="15" max="15" width="13.75"/>
    <col customWidth="1" min="16" max="16" width="14.63"/>
    <col customWidth="1" min="17" max="17" width="16.38"/>
  </cols>
  <sheetData>
    <row r="1" ht="22.5" customHeight="1">
      <c r="A1" s="1" t="s">
        <v>0</v>
      </c>
      <c r="B1" s="1" t="s">
        <v>1</v>
      </c>
      <c r="C1" s="1" t="s">
        <v>5</v>
      </c>
      <c r="D1" s="1" t="s">
        <v>6</v>
      </c>
      <c r="E1" s="1" t="s">
        <v>4</v>
      </c>
      <c r="G1" s="1" t="s">
        <v>0</v>
      </c>
      <c r="H1" s="1" t="s">
        <v>1</v>
      </c>
      <c r="I1" s="1" t="s">
        <v>5</v>
      </c>
      <c r="J1" s="1" t="s">
        <v>6</v>
      </c>
      <c r="K1" s="1" t="s">
        <v>4</v>
      </c>
      <c r="M1" s="1" t="s">
        <v>0</v>
      </c>
      <c r="N1" s="1" t="s">
        <v>1</v>
      </c>
      <c r="O1" s="1" t="s">
        <v>5</v>
      </c>
      <c r="P1" s="1" t="s">
        <v>6</v>
      </c>
      <c r="Q1" s="1" t="s">
        <v>4</v>
      </c>
    </row>
    <row r="2" ht="22.5" customHeight="1">
      <c r="A2" s="2" t="s">
        <v>7</v>
      </c>
      <c r="B2" s="2" t="s">
        <v>8</v>
      </c>
      <c r="C2" s="2">
        <v>0.9277</v>
      </c>
      <c r="D2" s="2">
        <v>0.9277</v>
      </c>
      <c r="E2" s="3">
        <f t="shared" ref="E2:E73" si="1">(D2-C2)/C2</f>
        <v>0</v>
      </c>
      <c r="G2" s="2" t="s">
        <v>7</v>
      </c>
      <c r="H2" s="2" t="s">
        <v>8</v>
      </c>
      <c r="I2" s="2">
        <v>0.9277</v>
      </c>
      <c r="J2" s="2">
        <v>0.9277</v>
      </c>
      <c r="K2" s="13">
        <f t="shared" ref="K2:K73" si="2">(J2-I2) / I2</f>
        <v>0</v>
      </c>
      <c r="M2" s="2" t="s">
        <v>7</v>
      </c>
      <c r="N2" s="2" t="s">
        <v>8</v>
      </c>
      <c r="O2" s="2">
        <v>0.9277</v>
      </c>
      <c r="P2" s="2">
        <v>0.9277</v>
      </c>
      <c r="Q2" s="3">
        <f t="shared" ref="Q2:Q73" si="3">(P2-O2)/O2</f>
        <v>0</v>
      </c>
    </row>
    <row r="3" ht="22.5" customHeight="1">
      <c r="A3" s="2" t="s">
        <v>7</v>
      </c>
      <c r="B3" s="2" t="s">
        <v>9</v>
      </c>
      <c r="C3" s="2">
        <v>0.5913</v>
      </c>
      <c r="D3" s="2">
        <v>0.6653</v>
      </c>
      <c r="E3" s="3">
        <f t="shared" si="1"/>
        <v>0.125147979</v>
      </c>
      <c r="G3" s="2" t="s">
        <v>7</v>
      </c>
      <c r="H3" s="2" t="s">
        <v>9</v>
      </c>
      <c r="I3" s="2">
        <v>0.5</v>
      </c>
      <c r="J3" s="2">
        <v>0.5956</v>
      </c>
      <c r="K3" s="13">
        <f t="shared" si="2"/>
        <v>0.1912</v>
      </c>
      <c r="M3" s="2" t="s">
        <v>7</v>
      </c>
      <c r="N3" s="2" t="s">
        <v>9</v>
      </c>
      <c r="O3" s="2">
        <v>0.6813</v>
      </c>
      <c r="P3" s="2">
        <v>0.6813</v>
      </c>
      <c r="Q3" s="3">
        <f t="shared" si="3"/>
        <v>0</v>
      </c>
    </row>
    <row r="4" ht="22.5" customHeight="1">
      <c r="A4" s="2" t="s">
        <v>7</v>
      </c>
      <c r="B4" s="2" t="s">
        <v>10</v>
      </c>
      <c r="C4" s="2">
        <v>0.696</v>
      </c>
      <c r="D4" s="2">
        <v>0.5955</v>
      </c>
      <c r="E4" s="3">
        <f t="shared" si="1"/>
        <v>-0.1443965517</v>
      </c>
      <c r="G4" s="2" t="s">
        <v>7</v>
      </c>
      <c r="H4" s="2" t="s">
        <v>10</v>
      </c>
      <c r="I4" s="2">
        <v>1.0</v>
      </c>
      <c r="J4" s="2">
        <v>0.9342</v>
      </c>
      <c r="K4" s="13">
        <f t="shared" si="2"/>
        <v>-0.0658</v>
      </c>
      <c r="M4" s="2" t="s">
        <v>7</v>
      </c>
      <c r="N4" s="2" t="s">
        <v>10</v>
      </c>
      <c r="O4" s="2">
        <v>0.6919</v>
      </c>
      <c r="P4" s="2">
        <v>0.6919</v>
      </c>
      <c r="Q4" s="3">
        <f t="shared" si="3"/>
        <v>0</v>
      </c>
    </row>
    <row r="5" ht="22.5" customHeight="1">
      <c r="A5" s="2" t="s">
        <v>7</v>
      </c>
      <c r="B5" s="2" t="s">
        <v>11</v>
      </c>
      <c r="C5" s="2">
        <v>0.9483</v>
      </c>
      <c r="D5" s="2">
        <v>0.9675</v>
      </c>
      <c r="E5" s="3">
        <f t="shared" si="1"/>
        <v>0.02024675736</v>
      </c>
      <c r="G5" s="2" t="s">
        <v>7</v>
      </c>
      <c r="H5" s="2" t="s">
        <v>11</v>
      </c>
      <c r="I5" s="2">
        <v>0.9277</v>
      </c>
      <c r="J5" s="2">
        <v>0.9416</v>
      </c>
      <c r="K5" s="13">
        <f t="shared" si="2"/>
        <v>0.01498329201</v>
      </c>
      <c r="M5" s="2" t="s">
        <v>7</v>
      </c>
      <c r="N5" s="2" t="s">
        <v>11</v>
      </c>
      <c r="O5" s="2">
        <v>0.9644</v>
      </c>
      <c r="P5" s="2">
        <v>0.9644</v>
      </c>
      <c r="Q5" s="3">
        <f t="shared" si="3"/>
        <v>0</v>
      </c>
    </row>
    <row r="6" ht="22.5" customHeight="1">
      <c r="A6" s="2" t="s">
        <v>12</v>
      </c>
      <c r="B6" s="2" t="s">
        <v>8</v>
      </c>
      <c r="C6" s="2">
        <v>0.7686</v>
      </c>
      <c r="D6" s="2">
        <v>0.7686</v>
      </c>
      <c r="E6" s="3">
        <f t="shared" si="1"/>
        <v>0</v>
      </c>
      <c r="G6" s="2" t="s">
        <v>12</v>
      </c>
      <c r="H6" s="2" t="s">
        <v>8</v>
      </c>
      <c r="I6" s="2">
        <v>0.7686</v>
      </c>
      <c r="J6" s="2">
        <v>0.7686</v>
      </c>
      <c r="K6" s="13">
        <f t="shared" si="2"/>
        <v>0</v>
      </c>
      <c r="M6" s="2" t="s">
        <v>12</v>
      </c>
      <c r="N6" s="2" t="s">
        <v>8</v>
      </c>
      <c r="O6" s="2">
        <v>0.7686</v>
      </c>
      <c r="P6" s="2">
        <v>0.7686</v>
      </c>
      <c r="Q6" s="3">
        <f t="shared" si="3"/>
        <v>0</v>
      </c>
    </row>
    <row r="7" ht="22.5" customHeight="1">
      <c r="A7" s="2" t="s">
        <v>12</v>
      </c>
      <c r="B7" s="2" t="s">
        <v>9</v>
      </c>
      <c r="C7" s="2">
        <v>0.7971</v>
      </c>
      <c r="D7" s="2">
        <v>0.8179</v>
      </c>
      <c r="E7" s="3">
        <f t="shared" si="1"/>
        <v>0.0260945929</v>
      </c>
      <c r="G7" s="2" t="s">
        <v>12</v>
      </c>
      <c r="H7" s="2" t="s">
        <v>9</v>
      </c>
      <c r="I7" s="2">
        <v>0.7252</v>
      </c>
      <c r="J7" s="2">
        <v>0.8171</v>
      </c>
      <c r="K7" s="13">
        <f t="shared" si="2"/>
        <v>0.1267236624</v>
      </c>
      <c r="M7" s="2" t="s">
        <v>12</v>
      </c>
      <c r="N7" s="2" t="s">
        <v>9</v>
      </c>
      <c r="O7" s="2">
        <v>0.8214</v>
      </c>
      <c r="P7" s="2">
        <v>0.822</v>
      </c>
      <c r="Q7" s="3">
        <f t="shared" si="3"/>
        <v>0.0007304601899</v>
      </c>
    </row>
    <row r="8" ht="22.5" customHeight="1">
      <c r="A8" s="2" t="s">
        <v>12</v>
      </c>
      <c r="B8" s="2" t="s">
        <v>10</v>
      </c>
      <c r="C8" s="2">
        <v>0.7936</v>
      </c>
      <c r="D8" s="2">
        <v>0.8481</v>
      </c>
      <c r="E8" s="3">
        <f t="shared" si="1"/>
        <v>0.06867439516</v>
      </c>
      <c r="G8" s="2" t="s">
        <v>12</v>
      </c>
      <c r="H8" s="2" t="s">
        <v>10</v>
      </c>
      <c r="I8" s="2">
        <v>0.5186</v>
      </c>
      <c r="J8" s="2">
        <v>0.8138</v>
      </c>
      <c r="K8" s="13">
        <f t="shared" si="2"/>
        <v>0.5692248361</v>
      </c>
      <c r="M8" s="2" t="s">
        <v>12</v>
      </c>
      <c r="N8" s="2" t="s">
        <v>10</v>
      </c>
      <c r="O8" s="2">
        <v>0.8395</v>
      </c>
      <c r="P8" s="2">
        <v>0.8424</v>
      </c>
      <c r="Q8" s="3">
        <f t="shared" si="3"/>
        <v>0.003454437165</v>
      </c>
    </row>
    <row r="9" ht="22.5" customHeight="1">
      <c r="A9" s="2" t="s">
        <v>12</v>
      </c>
      <c r="B9" s="2" t="s">
        <v>11</v>
      </c>
      <c r="C9" s="2">
        <v>0.559</v>
      </c>
      <c r="D9" s="2">
        <v>0.5471</v>
      </c>
      <c r="E9" s="3">
        <f t="shared" si="1"/>
        <v>-0.02128801431</v>
      </c>
      <c r="G9" s="2" t="s">
        <v>12</v>
      </c>
      <c r="H9" s="2" t="s">
        <v>11</v>
      </c>
      <c r="I9" s="2">
        <v>0.6962</v>
      </c>
      <c r="J9" s="2">
        <v>0.5772</v>
      </c>
      <c r="K9" s="13">
        <f t="shared" si="2"/>
        <v>-0.1709278943</v>
      </c>
      <c r="M9" s="2" t="s">
        <v>12</v>
      </c>
      <c r="N9" s="2" t="s">
        <v>11</v>
      </c>
      <c r="O9" s="2">
        <v>0.5637</v>
      </c>
      <c r="P9" s="2">
        <v>0.5622</v>
      </c>
      <c r="Q9" s="3">
        <f t="shared" si="3"/>
        <v>-0.002660989888</v>
      </c>
    </row>
    <row r="10" ht="22.5" customHeight="1">
      <c r="A10" s="2" t="s">
        <v>13</v>
      </c>
      <c r="B10" s="2" t="s">
        <v>8</v>
      </c>
      <c r="C10" s="2">
        <v>0.9297</v>
      </c>
      <c r="D10" s="2">
        <v>0.9297</v>
      </c>
      <c r="E10" s="3">
        <f t="shared" si="1"/>
        <v>0</v>
      </c>
      <c r="G10" s="2" t="s">
        <v>13</v>
      </c>
      <c r="H10" s="2" t="s">
        <v>8</v>
      </c>
      <c r="I10" s="2">
        <v>0.9297</v>
      </c>
      <c r="J10" s="2">
        <v>0.9297</v>
      </c>
      <c r="K10" s="13">
        <f t="shared" si="2"/>
        <v>0</v>
      </c>
      <c r="M10" s="2" t="s">
        <v>13</v>
      </c>
      <c r="N10" s="2" t="s">
        <v>8</v>
      </c>
      <c r="O10" s="2">
        <v>0.9297</v>
      </c>
      <c r="P10" s="2">
        <v>0.9297</v>
      </c>
      <c r="Q10" s="3">
        <f t="shared" si="3"/>
        <v>0</v>
      </c>
    </row>
    <row r="11" ht="22.5" customHeight="1">
      <c r="A11" s="2" t="s">
        <v>13</v>
      </c>
      <c r="B11" s="2" t="s">
        <v>9</v>
      </c>
      <c r="C11" s="2">
        <v>0.6767</v>
      </c>
      <c r="D11" s="2">
        <v>0.7384</v>
      </c>
      <c r="E11" s="3">
        <f t="shared" si="1"/>
        <v>0.09117777449</v>
      </c>
      <c r="G11" s="2" t="s">
        <v>13</v>
      </c>
      <c r="H11" s="2" t="s">
        <v>9</v>
      </c>
      <c r="I11" s="2">
        <v>0.5084</v>
      </c>
      <c r="J11" s="2">
        <v>0.6609</v>
      </c>
      <c r="K11" s="13">
        <f t="shared" si="2"/>
        <v>0.2999606609</v>
      </c>
      <c r="M11" s="2" t="s">
        <v>13</v>
      </c>
      <c r="N11" s="2" t="s">
        <v>9</v>
      </c>
      <c r="O11" s="2">
        <v>0.7478</v>
      </c>
      <c r="P11" s="2">
        <v>0.7676</v>
      </c>
      <c r="Q11" s="3">
        <f t="shared" si="3"/>
        <v>0.02647766783</v>
      </c>
    </row>
    <row r="12" ht="22.5" customHeight="1">
      <c r="A12" s="2" t="s">
        <v>13</v>
      </c>
      <c r="B12" s="2" t="s">
        <v>10</v>
      </c>
      <c r="C12" s="2">
        <v>0.6506</v>
      </c>
      <c r="D12" s="2">
        <v>0.7165</v>
      </c>
      <c r="E12" s="3">
        <f t="shared" si="1"/>
        <v>0.1012911159</v>
      </c>
      <c r="G12" s="2" t="s">
        <v>13</v>
      </c>
      <c r="H12" s="2" t="s">
        <v>10</v>
      </c>
      <c r="I12" s="2">
        <v>0.0189</v>
      </c>
      <c r="J12" s="2">
        <v>0.3774</v>
      </c>
      <c r="K12" s="13">
        <f t="shared" si="2"/>
        <v>18.96825397</v>
      </c>
      <c r="M12" s="2" t="s">
        <v>13</v>
      </c>
      <c r="N12" s="2" t="s">
        <v>10</v>
      </c>
      <c r="O12" s="2">
        <v>0.7082</v>
      </c>
      <c r="P12" s="2">
        <v>0.755</v>
      </c>
      <c r="Q12" s="3">
        <f t="shared" si="3"/>
        <v>0.06608302739</v>
      </c>
    </row>
    <row r="13" ht="22.5" customHeight="1">
      <c r="A13" s="2" t="s">
        <v>13</v>
      </c>
      <c r="B13" s="2" t="s">
        <v>11</v>
      </c>
      <c r="C13" s="2">
        <v>0.1429</v>
      </c>
      <c r="D13" s="2">
        <v>0.1907</v>
      </c>
      <c r="E13" s="3">
        <f t="shared" si="1"/>
        <v>0.3344996501</v>
      </c>
      <c r="G13" s="2" t="s">
        <v>13</v>
      </c>
      <c r="H13" s="2" t="s">
        <v>11</v>
      </c>
      <c r="I13" s="2">
        <v>0.4</v>
      </c>
      <c r="J13" s="2">
        <v>0.339</v>
      </c>
      <c r="K13" s="13">
        <f t="shared" si="2"/>
        <v>-0.1525</v>
      </c>
      <c r="M13" s="2" t="s">
        <v>13</v>
      </c>
      <c r="N13" s="2" t="s">
        <v>11</v>
      </c>
      <c r="O13" s="2">
        <v>0.2014</v>
      </c>
      <c r="P13" s="2">
        <v>0.2062</v>
      </c>
      <c r="Q13" s="3">
        <f t="shared" si="3"/>
        <v>0.02383316783</v>
      </c>
    </row>
    <row r="14" ht="22.5" customHeight="1">
      <c r="A14" s="2" t="s">
        <v>14</v>
      </c>
      <c r="B14" s="2" t="s">
        <v>8</v>
      </c>
      <c r="C14" s="2">
        <v>0.7162</v>
      </c>
      <c r="D14" s="2">
        <v>0.7162</v>
      </c>
      <c r="E14" s="3">
        <f t="shared" si="1"/>
        <v>0</v>
      </c>
      <c r="G14" s="2" t="s">
        <v>14</v>
      </c>
      <c r="H14" s="2" t="s">
        <v>8</v>
      </c>
      <c r="I14" s="2">
        <v>0.7162</v>
      </c>
      <c r="J14" s="2">
        <v>0.7162</v>
      </c>
      <c r="K14" s="13">
        <f t="shared" si="2"/>
        <v>0</v>
      </c>
      <c r="M14" s="2" t="s">
        <v>14</v>
      </c>
      <c r="N14" s="2" t="s">
        <v>8</v>
      </c>
      <c r="O14" s="2">
        <v>0.7162</v>
      </c>
      <c r="P14" s="2">
        <v>0.7162</v>
      </c>
      <c r="Q14" s="3">
        <f t="shared" si="3"/>
        <v>0</v>
      </c>
    </row>
    <row r="15" ht="22.5" customHeight="1">
      <c r="A15" s="2" t="s">
        <v>14</v>
      </c>
      <c r="B15" s="2" t="s">
        <v>9</v>
      </c>
      <c r="C15" s="2">
        <v>0.7361</v>
      </c>
      <c r="D15" s="2">
        <v>0.7699</v>
      </c>
      <c r="E15" s="3">
        <f t="shared" si="1"/>
        <v>0.04591767423</v>
      </c>
      <c r="G15" s="2" t="s">
        <v>14</v>
      </c>
      <c r="H15" s="2" t="s">
        <v>9</v>
      </c>
      <c r="I15" s="2">
        <v>0.7155</v>
      </c>
      <c r="J15" s="2">
        <v>0.7684</v>
      </c>
      <c r="K15" s="13">
        <f t="shared" si="2"/>
        <v>0.07393431167</v>
      </c>
      <c r="M15" s="2" t="s">
        <v>14</v>
      </c>
      <c r="N15" s="2" t="s">
        <v>9</v>
      </c>
      <c r="O15" s="2">
        <v>0.7626</v>
      </c>
      <c r="P15" s="2">
        <v>0.7689</v>
      </c>
      <c r="Q15" s="3">
        <f t="shared" si="3"/>
        <v>0.008261211644</v>
      </c>
    </row>
    <row r="16" ht="22.5" customHeight="1">
      <c r="A16" s="2" t="s">
        <v>14</v>
      </c>
      <c r="B16" s="2" t="s">
        <v>10</v>
      </c>
      <c r="C16" s="2">
        <v>0.7574</v>
      </c>
      <c r="D16" s="2">
        <v>0.7221</v>
      </c>
      <c r="E16" s="3">
        <f t="shared" si="1"/>
        <v>-0.04660681278</v>
      </c>
      <c r="G16" s="2" t="s">
        <v>14</v>
      </c>
      <c r="H16" s="2" t="s">
        <v>10</v>
      </c>
      <c r="I16" s="2">
        <v>0.507</v>
      </c>
      <c r="J16" s="2">
        <v>0.6729</v>
      </c>
      <c r="K16" s="13">
        <f t="shared" si="2"/>
        <v>0.3272189349</v>
      </c>
      <c r="M16" s="2" t="s">
        <v>14</v>
      </c>
      <c r="N16" s="2" t="s">
        <v>10</v>
      </c>
      <c r="O16" s="2">
        <v>0.7057</v>
      </c>
      <c r="P16" s="2">
        <v>0.7267</v>
      </c>
      <c r="Q16" s="3">
        <f t="shared" si="3"/>
        <v>0.0297576874</v>
      </c>
    </row>
    <row r="17" ht="22.5" customHeight="1">
      <c r="A17" s="2" t="s">
        <v>14</v>
      </c>
      <c r="B17" s="2" t="s">
        <v>11</v>
      </c>
      <c r="C17" s="2">
        <v>0.5247</v>
      </c>
      <c r="D17" s="2">
        <v>0.6113</v>
      </c>
      <c r="E17" s="3">
        <f t="shared" si="1"/>
        <v>0.1650466933</v>
      </c>
      <c r="G17" s="2" t="s">
        <v>14</v>
      </c>
      <c r="H17" s="2" t="s">
        <v>11</v>
      </c>
      <c r="I17" s="2">
        <v>0.7258</v>
      </c>
      <c r="J17" s="2">
        <v>0.6621</v>
      </c>
      <c r="K17" s="13">
        <f t="shared" si="2"/>
        <v>-0.08776522458</v>
      </c>
      <c r="M17" s="2" t="s">
        <v>14</v>
      </c>
      <c r="N17" s="2" t="s">
        <v>11</v>
      </c>
      <c r="O17" s="2">
        <v>0.6082</v>
      </c>
      <c r="P17" s="2">
        <v>0.6044</v>
      </c>
      <c r="Q17" s="3">
        <f t="shared" si="3"/>
        <v>-0.006247944755</v>
      </c>
    </row>
    <row r="18" ht="22.5" customHeight="1">
      <c r="A18" s="2" t="s">
        <v>15</v>
      </c>
      <c r="B18" s="2" t="s">
        <v>8</v>
      </c>
      <c r="C18" s="2">
        <v>0.9675</v>
      </c>
      <c r="D18" s="2">
        <v>0.9675</v>
      </c>
      <c r="E18" s="3">
        <f t="shared" si="1"/>
        <v>0</v>
      </c>
      <c r="G18" s="2" t="s">
        <v>15</v>
      </c>
      <c r="H18" s="2" t="s">
        <v>8</v>
      </c>
      <c r="I18" s="2">
        <v>0.9675</v>
      </c>
      <c r="J18" s="2">
        <v>0.9675</v>
      </c>
      <c r="K18" s="13">
        <f t="shared" si="2"/>
        <v>0</v>
      </c>
      <c r="M18" s="2" t="s">
        <v>15</v>
      </c>
      <c r="N18" s="2" t="s">
        <v>8</v>
      </c>
      <c r="O18" s="2">
        <v>0.9675</v>
      </c>
      <c r="P18" s="2">
        <v>0.9675</v>
      </c>
      <c r="Q18" s="3">
        <f t="shared" si="3"/>
        <v>0</v>
      </c>
    </row>
    <row r="19" ht="22.5" customHeight="1">
      <c r="A19" s="2" t="s">
        <v>15</v>
      </c>
      <c r="B19" s="2" t="s">
        <v>9</v>
      </c>
      <c r="C19" s="2">
        <v>0.5784</v>
      </c>
      <c r="D19" s="2">
        <v>0.6546</v>
      </c>
      <c r="E19" s="3">
        <f t="shared" si="1"/>
        <v>0.1317427386</v>
      </c>
      <c r="G19" s="2" t="s">
        <v>15</v>
      </c>
      <c r="H19" s="2" t="s">
        <v>9</v>
      </c>
      <c r="I19" s="2">
        <v>0.5</v>
      </c>
      <c r="J19" s="2">
        <v>0.5162</v>
      </c>
      <c r="K19" s="13">
        <f t="shared" si="2"/>
        <v>0.0324</v>
      </c>
      <c r="M19" s="2" t="s">
        <v>15</v>
      </c>
      <c r="N19" s="2" t="s">
        <v>9</v>
      </c>
      <c r="O19" s="2">
        <v>0.6128</v>
      </c>
      <c r="P19" s="2">
        <v>0.6357</v>
      </c>
      <c r="Q19" s="3">
        <f t="shared" si="3"/>
        <v>0.0373694517</v>
      </c>
    </row>
    <row r="20" ht="22.5" customHeight="1">
      <c r="A20" s="2" t="s">
        <v>15</v>
      </c>
      <c r="B20" s="2" t="s">
        <v>10</v>
      </c>
      <c r="C20" s="2">
        <v>0.5634</v>
      </c>
      <c r="D20" s="2">
        <v>0.6559</v>
      </c>
      <c r="E20" s="3">
        <f t="shared" si="1"/>
        <v>0.1641817536</v>
      </c>
      <c r="G20" s="2" t="s">
        <v>15</v>
      </c>
      <c r="H20" s="2" t="s">
        <v>10</v>
      </c>
      <c r="I20" s="2">
        <v>1.0</v>
      </c>
      <c r="J20" s="2">
        <v>0.9712</v>
      </c>
      <c r="K20" s="13">
        <f t="shared" si="2"/>
        <v>-0.0288</v>
      </c>
      <c r="M20" s="2" t="s">
        <v>15</v>
      </c>
      <c r="N20" s="2" t="s">
        <v>10</v>
      </c>
      <c r="O20" s="2">
        <v>0.6922</v>
      </c>
      <c r="P20" s="2">
        <v>0.658</v>
      </c>
      <c r="Q20" s="3">
        <f t="shared" si="3"/>
        <v>-0.04940768564</v>
      </c>
    </row>
    <row r="21" ht="22.5" customHeight="1">
      <c r="A21" s="2" t="s">
        <v>15</v>
      </c>
      <c r="B21" s="2" t="s">
        <v>11</v>
      </c>
      <c r="C21" s="2">
        <v>0.9754</v>
      </c>
      <c r="D21" s="2">
        <v>0.9828</v>
      </c>
      <c r="E21" s="3">
        <f t="shared" si="1"/>
        <v>0.007586631126</v>
      </c>
      <c r="G21" s="2" t="s">
        <v>15</v>
      </c>
      <c r="H21" s="2" t="s">
        <v>11</v>
      </c>
      <c r="I21" s="2">
        <v>0.9675</v>
      </c>
      <c r="J21" s="2">
        <v>0.9686</v>
      </c>
      <c r="K21" s="13">
        <f t="shared" si="2"/>
        <v>0.001136950904</v>
      </c>
      <c r="M21" s="2" t="s">
        <v>15</v>
      </c>
      <c r="N21" s="2" t="s">
        <v>11</v>
      </c>
      <c r="O21" s="2">
        <v>0.9781</v>
      </c>
      <c r="P21" s="2">
        <v>0.981</v>
      </c>
      <c r="Q21" s="3">
        <f t="shared" si="3"/>
        <v>0.002964932011</v>
      </c>
    </row>
    <row r="22" ht="22.5" customHeight="1">
      <c r="A22" s="2" t="s">
        <v>16</v>
      </c>
      <c r="B22" s="2" t="s">
        <v>8</v>
      </c>
      <c r="C22" s="2">
        <v>0.5298</v>
      </c>
      <c r="D22" s="2">
        <v>0.5298</v>
      </c>
      <c r="E22" s="3">
        <f t="shared" si="1"/>
        <v>0</v>
      </c>
      <c r="G22" s="2" t="s">
        <v>16</v>
      </c>
      <c r="H22" s="2" t="s">
        <v>8</v>
      </c>
      <c r="I22" s="2">
        <v>0.5298</v>
      </c>
      <c r="J22" s="2">
        <v>0.5298</v>
      </c>
      <c r="K22" s="13">
        <f t="shared" si="2"/>
        <v>0</v>
      </c>
      <c r="M22" s="2" t="s">
        <v>16</v>
      </c>
      <c r="N22" s="2" t="s">
        <v>8</v>
      </c>
      <c r="O22" s="2">
        <v>0.5298</v>
      </c>
      <c r="P22" s="2">
        <v>0.5298</v>
      </c>
      <c r="Q22" s="3">
        <f t="shared" si="3"/>
        <v>0</v>
      </c>
    </row>
    <row r="23" ht="22.5" customHeight="1">
      <c r="A23" s="2" t="s">
        <v>16</v>
      </c>
      <c r="B23" s="2" t="s">
        <v>9</v>
      </c>
      <c r="C23" s="2">
        <v>0.8455</v>
      </c>
      <c r="D23" s="2">
        <v>0.8623</v>
      </c>
      <c r="E23" s="3">
        <f t="shared" si="1"/>
        <v>0.01986989947</v>
      </c>
      <c r="G23" s="2" t="s">
        <v>16</v>
      </c>
      <c r="H23" s="2" t="s">
        <v>9</v>
      </c>
      <c r="I23" s="2">
        <v>0.8692</v>
      </c>
      <c r="J23" s="2">
        <v>0.8717</v>
      </c>
      <c r="K23" s="13">
        <f t="shared" si="2"/>
        <v>0.002876208007</v>
      </c>
      <c r="M23" s="2" t="s">
        <v>16</v>
      </c>
      <c r="N23" s="2" t="s">
        <v>9</v>
      </c>
      <c r="O23" s="2">
        <v>0.8558</v>
      </c>
      <c r="P23" s="2">
        <v>0.858</v>
      </c>
      <c r="Q23" s="3">
        <f t="shared" si="3"/>
        <v>0.002570694087</v>
      </c>
    </row>
    <row r="24" ht="22.5" customHeight="1">
      <c r="A24" s="2" t="s">
        <v>16</v>
      </c>
      <c r="B24" s="2" t="s">
        <v>10</v>
      </c>
      <c r="C24" s="2">
        <v>0.8322</v>
      </c>
      <c r="D24" s="2">
        <v>0.8248</v>
      </c>
      <c r="E24" s="3">
        <f t="shared" si="1"/>
        <v>-0.008892093247</v>
      </c>
      <c r="G24" s="2" t="s">
        <v>16</v>
      </c>
      <c r="H24" s="2" t="s">
        <v>10</v>
      </c>
      <c r="I24" s="2">
        <v>0.8836</v>
      </c>
      <c r="J24" s="2">
        <v>0.8874</v>
      </c>
      <c r="K24" s="13">
        <f t="shared" si="2"/>
        <v>0.004300588502</v>
      </c>
      <c r="M24" s="2" t="s">
        <v>16</v>
      </c>
      <c r="N24" s="2" t="s">
        <v>10</v>
      </c>
      <c r="O24" s="2">
        <v>0.8273</v>
      </c>
      <c r="P24" s="2">
        <v>0.826</v>
      </c>
      <c r="Q24" s="3">
        <f t="shared" si="3"/>
        <v>-0.001571376768</v>
      </c>
    </row>
    <row r="25" ht="22.5" customHeight="1">
      <c r="A25" s="2" t="s">
        <v>16</v>
      </c>
      <c r="B25" s="2" t="s">
        <v>11</v>
      </c>
      <c r="C25" s="2">
        <v>0.8753</v>
      </c>
      <c r="D25" s="2">
        <v>0.9032</v>
      </c>
      <c r="E25" s="3">
        <f t="shared" si="1"/>
        <v>0.03187478579</v>
      </c>
      <c r="G25" s="2" t="s">
        <v>16</v>
      </c>
      <c r="H25" s="2" t="s">
        <v>11</v>
      </c>
      <c r="I25" s="2">
        <v>0.8727</v>
      </c>
      <c r="J25" s="2">
        <v>0.8742</v>
      </c>
      <c r="K25" s="13">
        <f t="shared" si="2"/>
        <v>0.001718803713</v>
      </c>
      <c r="M25" s="2" t="s">
        <v>16</v>
      </c>
      <c r="N25" s="2" t="s">
        <v>11</v>
      </c>
      <c r="O25" s="2">
        <v>0.8901</v>
      </c>
      <c r="P25" s="2">
        <v>0.8948</v>
      </c>
      <c r="Q25" s="3">
        <f t="shared" si="3"/>
        <v>0.005280305584</v>
      </c>
    </row>
    <row r="26" ht="22.5" customHeight="1">
      <c r="A26" s="2" t="s">
        <v>17</v>
      </c>
      <c r="B26" s="2" t="s">
        <v>8</v>
      </c>
      <c r="C26" s="2">
        <v>0.9761</v>
      </c>
      <c r="D26" s="2">
        <v>0.9761</v>
      </c>
      <c r="E26" s="3">
        <f t="shared" si="1"/>
        <v>0</v>
      </c>
      <c r="G26" s="2" t="s">
        <v>17</v>
      </c>
      <c r="H26" s="2" t="s">
        <v>8</v>
      </c>
      <c r="I26" s="2">
        <v>0.9761</v>
      </c>
      <c r="J26" s="2">
        <v>0.9761</v>
      </c>
      <c r="K26" s="13">
        <f t="shared" si="2"/>
        <v>0</v>
      </c>
      <c r="M26" s="2" t="s">
        <v>17</v>
      </c>
      <c r="N26" s="2" t="s">
        <v>8</v>
      </c>
      <c r="O26" s="2">
        <v>0.9761</v>
      </c>
      <c r="P26" s="2">
        <v>0.9761</v>
      </c>
      <c r="Q26" s="3">
        <f t="shared" si="3"/>
        <v>0</v>
      </c>
    </row>
    <row r="27" ht="22.5" customHeight="1">
      <c r="A27" s="2" t="s">
        <v>17</v>
      </c>
      <c r="B27" s="2" t="s">
        <v>9</v>
      </c>
      <c r="C27" s="2">
        <v>0.5422</v>
      </c>
      <c r="D27" s="2">
        <v>0.6081</v>
      </c>
      <c r="E27" s="3">
        <f t="shared" si="1"/>
        <v>0.1215418665</v>
      </c>
      <c r="G27" s="2" t="s">
        <v>17</v>
      </c>
      <c r="H27" s="2" t="s">
        <v>9</v>
      </c>
      <c r="I27" s="2">
        <v>0.5</v>
      </c>
      <c r="J27" s="2">
        <v>0.5</v>
      </c>
      <c r="K27" s="13">
        <f t="shared" si="2"/>
        <v>0</v>
      </c>
      <c r="M27" s="2" t="s">
        <v>17</v>
      </c>
      <c r="N27" s="2" t="s">
        <v>9</v>
      </c>
      <c r="O27" s="2">
        <v>0.6009</v>
      </c>
      <c r="P27" s="2">
        <v>0.6085</v>
      </c>
      <c r="Q27" s="3">
        <f t="shared" si="3"/>
        <v>0.01264769512</v>
      </c>
    </row>
    <row r="28" ht="22.5" customHeight="1">
      <c r="A28" s="2" t="s">
        <v>17</v>
      </c>
      <c r="B28" s="2" t="s">
        <v>10</v>
      </c>
      <c r="C28" s="2">
        <v>0.6094</v>
      </c>
      <c r="D28" s="2">
        <v>0.7234</v>
      </c>
      <c r="E28" s="3">
        <f t="shared" si="1"/>
        <v>0.1870692484</v>
      </c>
      <c r="G28" s="2" t="s">
        <v>17</v>
      </c>
      <c r="H28" s="2" t="s">
        <v>10</v>
      </c>
      <c r="I28" s="2">
        <v>1.0</v>
      </c>
      <c r="J28" s="2">
        <v>1.0</v>
      </c>
      <c r="K28" s="13">
        <f t="shared" si="2"/>
        <v>0</v>
      </c>
      <c r="M28" s="2" t="s">
        <v>17</v>
      </c>
      <c r="N28" s="2" t="s">
        <v>10</v>
      </c>
      <c r="O28" s="2">
        <v>0.7555</v>
      </c>
      <c r="P28" s="2">
        <v>0.7385</v>
      </c>
      <c r="Q28" s="3">
        <f t="shared" si="3"/>
        <v>-0.02250165453</v>
      </c>
    </row>
    <row r="29" ht="22.5" customHeight="1">
      <c r="A29" s="2" t="s">
        <v>17</v>
      </c>
      <c r="B29" s="2" t="s">
        <v>11</v>
      </c>
      <c r="C29" s="2">
        <v>0.98</v>
      </c>
      <c r="D29" s="2">
        <v>0.9831</v>
      </c>
      <c r="E29" s="3">
        <f t="shared" si="1"/>
        <v>0.003163265306</v>
      </c>
      <c r="G29" s="2" t="s">
        <v>17</v>
      </c>
      <c r="H29" s="2" t="s">
        <v>11</v>
      </c>
      <c r="I29" s="2">
        <v>0.9761</v>
      </c>
      <c r="J29" s="2">
        <v>0.9761</v>
      </c>
      <c r="K29" s="13">
        <f t="shared" si="2"/>
        <v>0</v>
      </c>
      <c r="M29" s="2" t="s">
        <v>17</v>
      </c>
      <c r="N29" s="2" t="s">
        <v>11</v>
      </c>
      <c r="O29" s="2">
        <v>0.9824</v>
      </c>
      <c r="P29" s="2">
        <v>0.983</v>
      </c>
      <c r="Q29" s="3">
        <f t="shared" si="3"/>
        <v>0.0006107491857</v>
      </c>
    </row>
    <row r="30" ht="22.5" customHeight="1">
      <c r="A30" s="2" t="s">
        <v>18</v>
      </c>
      <c r="B30" s="2" t="s">
        <v>8</v>
      </c>
      <c r="C30" s="2">
        <v>0.7785</v>
      </c>
      <c r="D30" s="2">
        <v>0.7785</v>
      </c>
      <c r="E30" s="3">
        <f t="shared" si="1"/>
        <v>0</v>
      </c>
      <c r="G30" s="2" t="s">
        <v>18</v>
      </c>
      <c r="H30" s="2" t="s">
        <v>8</v>
      </c>
      <c r="I30" s="2">
        <v>0.7785</v>
      </c>
      <c r="J30" s="2">
        <v>0.7785</v>
      </c>
      <c r="K30" s="13">
        <f t="shared" si="2"/>
        <v>0</v>
      </c>
      <c r="M30" s="2" t="s">
        <v>18</v>
      </c>
      <c r="N30" s="2" t="s">
        <v>8</v>
      </c>
      <c r="O30" s="2">
        <v>0.7785</v>
      </c>
      <c r="P30" s="2">
        <v>0.7785</v>
      </c>
      <c r="Q30" s="3">
        <f t="shared" si="3"/>
        <v>0</v>
      </c>
    </row>
    <row r="31" ht="22.5" customHeight="1">
      <c r="A31" s="2" t="s">
        <v>18</v>
      </c>
      <c r="B31" s="2" t="s">
        <v>9</v>
      </c>
      <c r="C31" s="2">
        <v>0.7738</v>
      </c>
      <c r="D31" s="2">
        <v>0.8454</v>
      </c>
      <c r="E31" s="3">
        <f t="shared" si="1"/>
        <v>0.0925303696</v>
      </c>
      <c r="G31" s="2" t="s">
        <v>18</v>
      </c>
      <c r="H31" s="2" t="s">
        <v>9</v>
      </c>
      <c r="I31" s="2">
        <v>0.7384</v>
      </c>
      <c r="J31" s="2">
        <v>0.8343</v>
      </c>
      <c r="K31" s="13">
        <f t="shared" si="2"/>
        <v>0.1298754063</v>
      </c>
      <c r="M31" s="2" t="s">
        <v>18</v>
      </c>
      <c r="N31" s="2" t="s">
        <v>9</v>
      </c>
      <c r="O31" s="2">
        <v>0.842</v>
      </c>
      <c r="P31" s="2">
        <v>0.8442</v>
      </c>
      <c r="Q31" s="3">
        <f t="shared" si="3"/>
        <v>0.002612826603</v>
      </c>
    </row>
    <row r="32" ht="22.5" customHeight="1">
      <c r="A32" s="2" t="s">
        <v>18</v>
      </c>
      <c r="B32" s="2" t="s">
        <v>10</v>
      </c>
      <c r="C32" s="2">
        <v>0.7085</v>
      </c>
      <c r="D32" s="2">
        <v>0.8713</v>
      </c>
      <c r="E32" s="3">
        <f t="shared" si="1"/>
        <v>0.2297812279</v>
      </c>
      <c r="G32" s="2" t="s">
        <v>18</v>
      </c>
      <c r="H32" s="2" t="s">
        <v>10</v>
      </c>
      <c r="I32" s="2">
        <v>0.5389</v>
      </c>
      <c r="J32" s="2">
        <v>0.8024</v>
      </c>
      <c r="K32" s="13">
        <f t="shared" si="2"/>
        <v>0.4889589905</v>
      </c>
      <c r="M32" s="2" t="s">
        <v>18</v>
      </c>
      <c r="N32" s="2" t="s">
        <v>10</v>
      </c>
      <c r="O32" s="2">
        <v>0.8502</v>
      </c>
      <c r="P32" s="2">
        <v>0.8562</v>
      </c>
      <c r="Q32" s="3">
        <f t="shared" si="3"/>
        <v>0.00705716302</v>
      </c>
    </row>
    <row r="33" ht="22.5" customHeight="1">
      <c r="A33" s="2" t="s">
        <v>18</v>
      </c>
      <c r="B33" s="2" t="s">
        <v>11</v>
      </c>
      <c r="C33" s="2">
        <v>0.6017</v>
      </c>
      <c r="D33" s="2">
        <v>0.5791</v>
      </c>
      <c r="E33" s="3">
        <f t="shared" si="1"/>
        <v>-0.03756024597</v>
      </c>
      <c r="G33" s="2" t="s">
        <v>18</v>
      </c>
      <c r="H33" s="2" t="s">
        <v>11</v>
      </c>
      <c r="I33" s="2">
        <v>0.7115</v>
      </c>
      <c r="J33" s="2">
        <v>0.6306</v>
      </c>
      <c r="K33" s="13">
        <f t="shared" si="2"/>
        <v>-0.1137034434</v>
      </c>
      <c r="M33" s="2" t="s">
        <v>18</v>
      </c>
      <c r="N33" s="2" t="s">
        <v>11</v>
      </c>
      <c r="O33" s="2">
        <v>0.5951</v>
      </c>
      <c r="P33" s="2">
        <v>0.5936</v>
      </c>
      <c r="Q33" s="3">
        <f t="shared" si="3"/>
        <v>-0.002520584776</v>
      </c>
    </row>
    <row r="34" ht="22.5" customHeight="1">
      <c r="A34" s="2" t="s">
        <v>19</v>
      </c>
      <c r="B34" s="2" t="s">
        <v>8</v>
      </c>
      <c r="C34" s="2">
        <v>0.9582</v>
      </c>
      <c r="D34" s="2">
        <v>0.9582</v>
      </c>
      <c r="E34" s="3">
        <f t="shared" si="1"/>
        <v>0</v>
      </c>
      <c r="G34" s="2" t="s">
        <v>19</v>
      </c>
      <c r="H34" s="2" t="s">
        <v>8</v>
      </c>
      <c r="I34" s="2">
        <v>0.9582</v>
      </c>
      <c r="J34" s="2">
        <v>0.9582</v>
      </c>
      <c r="K34" s="13">
        <f t="shared" si="2"/>
        <v>0</v>
      </c>
      <c r="M34" s="2" t="s">
        <v>19</v>
      </c>
      <c r="N34" s="2" t="s">
        <v>8</v>
      </c>
      <c r="O34" s="2">
        <v>0.9582</v>
      </c>
      <c r="P34" s="2">
        <v>0.9582</v>
      </c>
      <c r="Q34" s="3">
        <f t="shared" si="3"/>
        <v>0</v>
      </c>
    </row>
    <row r="35" ht="22.5" customHeight="1">
      <c r="A35" s="2" t="s">
        <v>19</v>
      </c>
      <c r="B35" s="2" t="s">
        <v>9</v>
      </c>
      <c r="C35" s="2">
        <v>0.7884</v>
      </c>
      <c r="D35" s="2">
        <v>0.8467</v>
      </c>
      <c r="E35" s="3">
        <f t="shared" si="1"/>
        <v>0.07394723491</v>
      </c>
      <c r="G35" s="2" t="s">
        <v>19</v>
      </c>
      <c r="H35" s="2" t="s">
        <v>9</v>
      </c>
      <c r="I35" s="2">
        <v>0.5072</v>
      </c>
      <c r="J35" s="2">
        <v>0.6887</v>
      </c>
      <c r="K35" s="13">
        <f t="shared" si="2"/>
        <v>0.3578470032</v>
      </c>
      <c r="M35" s="2" t="s">
        <v>19</v>
      </c>
      <c r="N35" s="2" t="s">
        <v>9</v>
      </c>
      <c r="O35" s="2">
        <v>0.8149</v>
      </c>
      <c r="P35" s="2">
        <v>0.8475</v>
      </c>
      <c r="Q35" s="3">
        <f t="shared" si="3"/>
        <v>0.04000490858</v>
      </c>
    </row>
    <row r="36" ht="22.5" customHeight="1">
      <c r="A36" s="2" t="s">
        <v>19</v>
      </c>
      <c r="B36" s="2" t="s">
        <v>10</v>
      </c>
      <c r="C36" s="2">
        <v>0.7</v>
      </c>
      <c r="D36" s="2">
        <v>0.8705</v>
      </c>
      <c r="E36" s="3">
        <f t="shared" si="1"/>
        <v>0.2435714286</v>
      </c>
      <c r="G36" s="2" t="s">
        <v>19</v>
      </c>
      <c r="H36" s="2" t="s">
        <v>10</v>
      </c>
      <c r="I36" s="2">
        <v>0.0159</v>
      </c>
      <c r="J36" s="2">
        <v>0.4127</v>
      </c>
      <c r="K36" s="13">
        <f t="shared" si="2"/>
        <v>24.95597484</v>
      </c>
      <c r="M36" s="2" t="s">
        <v>19</v>
      </c>
      <c r="N36" s="2" t="s">
        <v>10</v>
      </c>
      <c r="O36" s="2">
        <v>0.7474</v>
      </c>
      <c r="P36" s="2">
        <v>0.841</v>
      </c>
      <c r="Q36" s="3">
        <f t="shared" si="3"/>
        <v>0.125234145</v>
      </c>
    </row>
    <row r="37" ht="22.5" customHeight="1">
      <c r="A37" s="2" t="s">
        <v>19</v>
      </c>
      <c r="B37" s="2" t="s">
        <v>11</v>
      </c>
      <c r="C37" s="2">
        <v>0.2048</v>
      </c>
      <c r="D37" s="2">
        <v>0.1796</v>
      </c>
      <c r="E37" s="3">
        <f t="shared" si="1"/>
        <v>-0.123046875</v>
      </c>
      <c r="G37" s="2" t="s">
        <v>19</v>
      </c>
      <c r="H37" s="2" t="s">
        <v>11</v>
      </c>
      <c r="I37" s="2">
        <v>0.3333</v>
      </c>
      <c r="J37" s="2">
        <v>0.3377</v>
      </c>
      <c r="K37" s="13">
        <f t="shared" si="2"/>
        <v>0.01320132013</v>
      </c>
      <c r="M37" s="2" t="s">
        <v>19</v>
      </c>
      <c r="N37" s="2" t="s">
        <v>11</v>
      </c>
      <c r="O37" s="2">
        <v>0.2162</v>
      </c>
      <c r="P37" s="2">
        <v>0.201</v>
      </c>
      <c r="Q37" s="3">
        <f t="shared" si="3"/>
        <v>-0.0703052729</v>
      </c>
    </row>
    <row r="38" ht="22.5" customHeight="1">
      <c r="A38" s="2" t="s">
        <v>20</v>
      </c>
      <c r="B38" s="2" t="s">
        <v>8</v>
      </c>
      <c r="C38" s="2">
        <v>0.7255</v>
      </c>
      <c r="D38" s="2">
        <v>0.7255</v>
      </c>
      <c r="E38" s="3">
        <f t="shared" si="1"/>
        <v>0</v>
      </c>
      <c r="G38" s="2" t="s">
        <v>20</v>
      </c>
      <c r="H38" s="2" t="s">
        <v>8</v>
      </c>
      <c r="I38" s="2">
        <v>0.7255</v>
      </c>
      <c r="J38" s="2">
        <v>0.7255</v>
      </c>
      <c r="K38" s="13">
        <f t="shared" si="2"/>
        <v>0</v>
      </c>
      <c r="M38" s="2" t="s">
        <v>20</v>
      </c>
      <c r="N38" s="2" t="s">
        <v>8</v>
      </c>
      <c r="O38" s="2">
        <v>0.7255</v>
      </c>
      <c r="P38" s="2">
        <v>0.7255</v>
      </c>
      <c r="Q38" s="3">
        <f t="shared" si="3"/>
        <v>0</v>
      </c>
    </row>
    <row r="39" ht="22.5" customHeight="1">
      <c r="A39" s="2" t="s">
        <v>20</v>
      </c>
      <c r="B39" s="2" t="s">
        <v>9</v>
      </c>
      <c r="C39" s="2">
        <v>0.8228</v>
      </c>
      <c r="D39" s="2">
        <v>0.8457</v>
      </c>
      <c r="E39" s="3">
        <f t="shared" si="1"/>
        <v>0.02783179387</v>
      </c>
      <c r="G39" s="2" t="s">
        <v>20</v>
      </c>
      <c r="H39" s="2" t="s">
        <v>9</v>
      </c>
      <c r="I39" s="2">
        <v>0.8119</v>
      </c>
      <c r="J39" s="2">
        <v>0.8574</v>
      </c>
      <c r="K39" s="13">
        <f t="shared" si="2"/>
        <v>0.05604138441</v>
      </c>
      <c r="M39" s="2" t="s">
        <v>20</v>
      </c>
      <c r="N39" s="2" t="s">
        <v>9</v>
      </c>
      <c r="O39" s="2">
        <v>0.8419</v>
      </c>
      <c r="P39" s="2">
        <v>0.8489</v>
      </c>
      <c r="Q39" s="3">
        <f t="shared" si="3"/>
        <v>0.008314526666</v>
      </c>
    </row>
    <row r="40" ht="22.5" customHeight="1">
      <c r="A40" s="2" t="s">
        <v>20</v>
      </c>
      <c r="B40" s="2" t="s">
        <v>10</v>
      </c>
      <c r="C40" s="2">
        <v>0.8722</v>
      </c>
      <c r="D40" s="2">
        <v>0.8551</v>
      </c>
      <c r="E40" s="3">
        <f t="shared" si="1"/>
        <v>-0.01960559505</v>
      </c>
      <c r="G40" s="2" t="s">
        <v>20</v>
      </c>
      <c r="H40" s="2" t="s">
        <v>10</v>
      </c>
      <c r="I40" s="2">
        <v>0.7126</v>
      </c>
      <c r="J40" s="2">
        <v>0.8647</v>
      </c>
      <c r="K40" s="13">
        <f t="shared" si="2"/>
        <v>0.2134437272</v>
      </c>
      <c r="M40" s="2" t="s">
        <v>20</v>
      </c>
      <c r="N40" s="2" t="s">
        <v>10</v>
      </c>
      <c r="O40" s="2">
        <v>0.8382</v>
      </c>
      <c r="P40" s="2">
        <v>0.8551</v>
      </c>
      <c r="Q40" s="3">
        <f t="shared" si="3"/>
        <v>0.02016225245</v>
      </c>
    </row>
    <row r="41" ht="22.5" customHeight="1">
      <c r="A41" s="2" t="s">
        <v>20</v>
      </c>
      <c r="B41" s="2" t="s">
        <v>11</v>
      </c>
      <c r="C41" s="2">
        <v>0.6084</v>
      </c>
      <c r="D41" s="2">
        <v>0.6663</v>
      </c>
      <c r="E41" s="3">
        <f t="shared" si="1"/>
        <v>0.09516765286</v>
      </c>
      <c r="G41" s="2" t="s">
        <v>20</v>
      </c>
      <c r="H41" s="2" t="s">
        <v>11</v>
      </c>
      <c r="I41" s="2">
        <v>0.7526</v>
      </c>
      <c r="J41" s="2">
        <v>0.6858</v>
      </c>
      <c r="K41" s="13">
        <f t="shared" si="2"/>
        <v>-0.08875896891</v>
      </c>
      <c r="M41" s="2" t="s">
        <v>20</v>
      </c>
      <c r="N41" s="2" t="s">
        <v>11</v>
      </c>
      <c r="O41" s="2">
        <v>0.6733</v>
      </c>
      <c r="P41" s="2">
        <v>0.6743</v>
      </c>
      <c r="Q41" s="3">
        <f t="shared" si="3"/>
        <v>0.001485222041</v>
      </c>
    </row>
    <row r="42" ht="22.5" customHeight="1">
      <c r="A42" s="2" t="s">
        <v>21</v>
      </c>
      <c r="B42" s="2" t="s">
        <v>8</v>
      </c>
      <c r="C42" s="2">
        <v>0.9377</v>
      </c>
      <c r="D42" s="2">
        <v>0.9377</v>
      </c>
      <c r="E42" s="3">
        <f t="shared" si="1"/>
        <v>0</v>
      </c>
      <c r="G42" s="2" t="s">
        <v>21</v>
      </c>
      <c r="H42" s="2" t="s">
        <v>8</v>
      </c>
      <c r="I42" s="2">
        <v>0.9377</v>
      </c>
      <c r="J42" s="2">
        <v>0.9377</v>
      </c>
      <c r="K42" s="13">
        <f t="shared" si="2"/>
        <v>0</v>
      </c>
      <c r="M42" s="2" t="s">
        <v>21</v>
      </c>
      <c r="N42" s="2" t="s">
        <v>8</v>
      </c>
      <c r="O42" s="2">
        <v>0.9377</v>
      </c>
      <c r="P42" s="2">
        <v>0.9377</v>
      </c>
      <c r="Q42" s="3">
        <f t="shared" si="3"/>
        <v>0</v>
      </c>
    </row>
    <row r="43" ht="22.5" customHeight="1">
      <c r="A43" s="2" t="s">
        <v>21</v>
      </c>
      <c r="B43" s="2" t="s">
        <v>9</v>
      </c>
      <c r="C43" s="2">
        <v>0.7987</v>
      </c>
      <c r="D43" s="2">
        <v>0.8324</v>
      </c>
      <c r="E43" s="3">
        <f t="shared" si="1"/>
        <v>0.04219356454</v>
      </c>
      <c r="G43" s="2" t="s">
        <v>21</v>
      </c>
      <c r="H43" s="2" t="s">
        <v>9</v>
      </c>
      <c r="I43" s="2">
        <v>0.5238</v>
      </c>
      <c r="J43" s="2">
        <v>0.7579</v>
      </c>
      <c r="K43" s="13">
        <f t="shared" si="2"/>
        <v>0.4469263078</v>
      </c>
      <c r="M43" s="2" t="s">
        <v>21</v>
      </c>
      <c r="N43" s="2" t="s">
        <v>9</v>
      </c>
      <c r="O43" s="2">
        <v>0.8348</v>
      </c>
      <c r="P43" s="2">
        <v>0.8468</v>
      </c>
      <c r="Q43" s="3">
        <f t="shared" si="3"/>
        <v>0.01437470053</v>
      </c>
    </row>
    <row r="44" ht="22.5" customHeight="1">
      <c r="A44" s="2" t="s">
        <v>21</v>
      </c>
      <c r="B44" s="2" t="s">
        <v>10</v>
      </c>
      <c r="C44" s="2">
        <v>0.7842</v>
      </c>
      <c r="D44" s="2">
        <v>0.807</v>
      </c>
      <c r="E44" s="3">
        <f t="shared" si="1"/>
        <v>0.02907421576</v>
      </c>
      <c r="G44" s="2" t="s">
        <v>21</v>
      </c>
      <c r="H44" s="2" t="s">
        <v>10</v>
      </c>
      <c r="I44" s="2">
        <v>0.0532</v>
      </c>
      <c r="J44" s="2">
        <v>0.5638</v>
      </c>
      <c r="K44" s="13">
        <f t="shared" si="2"/>
        <v>9.597744361</v>
      </c>
      <c r="M44" s="2" t="s">
        <v>21</v>
      </c>
      <c r="N44" s="2" t="s">
        <v>10</v>
      </c>
      <c r="O44" s="2">
        <v>0.8181</v>
      </c>
      <c r="P44" s="2">
        <v>0.8825</v>
      </c>
      <c r="Q44" s="3">
        <f t="shared" si="3"/>
        <v>0.07871898301</v>
      </c>
    </row>
    <row r="45" ht="22.5" customHeight="1">
      <c r="A45" s="2" t="s">
        <v>21</v>
      </c>
      <c r="B45" s="2" t="s">
        <v>11</v>
      </c>
      <c r="C45" s="2">
        <v>0.2194</v>
      </c>
      <c r="D45" s="2">
        <v>0.2767</v>
      </c>
      <c r="E45" s="3">
        <f t="shared" si="1"/>
        <v>0.2611668186</v>
      </c>
      <c r="G45" s="2" t="s">
        <v>21</v>
      </c>
      <c r="H45" s="2" t="s">
        <v>11</v>
      </c>
      <c r="I45" s="2">
        <v>0.3846</v>
      </c>
      <c r="J45" s="2">
        <v>0.438</v>
      </c>
      <c r="K45" s="13">
        <f t="shared" si="2"/>
        <v>0.1388455538</v>
      </c>
      <c r="M45" s="2" t="s">
        <v>21</v>
      </c>
      <c r="N45" s="2" t="s">
        <v>11</v>
      </c>
      <c r="O45" s="2">
        <v>0.2712</v>
      </c>
      <c r="P45" s="2">
        <v>0.2385</v>
      </c>
      <c r="Q45" s="3">
        <f t="shared" si="3"/>
        <v>-0.1205752212</v>
      </c>
    </row>
    <row r="46" ht="22.5" customHeight="1">
      <c r="A46" s="2" t="s">
        <v>22</v>
      </c>
      <c r="B46" s="2" t="s">
        <v>8</v>
      </c>
      <c r="C46" s="2">
        <v>0.8899</v>
      </c>
      <c r="D46" s="2">
        <v>0.8899</v>
      </c>
      <c r="E46" s="3">
        <f t="shared" si="1"/>
        <v>0</v>
      </c>
      <c r="G46" s="2" t="s">
        <v>22</v>
      </c>
      <c r="H46" s="2" t="s">
        <v>8</v>
      </c>
      <c r="I46" s="2">
        <v>0.8899</v>
      </c>
      <c r="J46" s="2">
        <v>0.8899</v>
      </c>
      <c r="K46" s="13">
        <f t="shared" si="2"/>
        <v>0</v>
      </c>
      <c r="M46" s="2" t="s">
        <v>22</v>
      </c>
      <c r="N46" s="2" t="s">
        <v>8</v>
      </c>
      <c r="O46" s="2">
        <v>0.8899</v>
      </c>
      <c r="P46" s="2">
        <v>0.8899</v>
      </c>
      <c r="Q46" s="3">
        <f t="shared" si="3"/>
        <v>0</v>
      </c>
    </row>
    <row r="47" ht="22.5" customHeight="1">
      <c r="A47" s="2" t="s">
        <v>22</v>
      </c>
      <c r="B47" s="2" t="s">
        <v>9</v>
      </c>
      <c r="C47" s="2">
        <v>0.7741</v>
      </c>
      <c r="D47" s="2">
        <v>0.8439</v>
      </c>
      <c r="E47" s="3">
        <f t="shared" si="1"/>
        <v>0.09016922878</v>
      </c>
      <c r="G47" s="2" t="s">
        <v>22</v>
      </c>
      <c r="H47" s="2" t="s">
        <v>9</v>
      </c>
      <c r="I47" s="2">
        <v>0.604</v>
      </c>
      <c r="J47" s="2">
        <v>0.8018</v>
      </c>
      <c r="K47" s="13">
        <f t="shared" si="2"/>
        <v>0.3274834437</v>
      </c>
      <c r="M47" s="2" t="s">
        <v>22</v>
      </c>
      <c r="N47" s="2" t="s">
        <v>9</v>
      </c>
      <c r="O47" s="2">
        <v>0.8496</v>
      </c>
      <c r="P47" s="2">
        <v>0.8592</v>
      </c>
      <c r="Q47" s="3">
        <f t="shared" si="3"/>
        <v>0.01129943503</v>
      </c>
    </row>
    <row r="48" ht="22.5" customHeight="1">
      <c r="A48" s="2" t="s">
        <v>22</v>
      </c>
      <c r="B48" s="2" t="s">
        <v>10</v>
      </c>
      <c r="C48" s="2">
        <v>0.6695</v>
      </c>
      <c r="D48" s="2">
        <v>0.8613</v>
      </c>
      <c r="E48" s="3">
        <f t="shared" si="1"/>
        <v>0.2864824496</v>
      </c>
      <c r="G48" s="2" t="s">
        <v>22</v>
      </c>
      <c r="H48" s="2" t="s">
        <v>10</v>
      </c>
      <c r="I48" s="2">
        <v>0.2229</v>
      </c>
      <c r="J48" s="2">
        <v>0.7108</v>
      </c>
      <c r="K48" s="13">
        <f t="shared" si="2"/>
        <v>2.188873934</v>
      </c>
      <c r="M48" s="2" t="s">
        <v>22</v>
      </c>
      <c r="N48" s="2" t="s">
        <v>10</v>
      </c>
      <c r="O48" s="2">
        <v>0.8676</v>
      </c>
      <c r="P48" s="2">
        <v>0.9039</v>
      </c>
      <c r="Q48" s="3">
        <f t="shared" si="3"/>
        <v>0.0418395574</v>
      </c>
    </row>
    <row r="49" ht="22.5" customHeight="1">
      <c r="A49" s="2" t="s">
        <v>22</v>
      </c>
      <c r="B49" s="2" t="s">
        <v>11</v>
      </c>
      <c r="C49" s="2">
        <v>0.4286</v>
      </c>
      <c r="D49" s="2">
        <v>0.3828</v>
      </c>
      <c r="E49" s="3">
        <f t="shared" si="1"/>
        <v>-0.1068595427</v>
      </c>
      <c r="G49" s="2" t="s">
        <v>22</v>
      </c>
      <c r="H49" s="2" t="s">
        <v>11</v>
      </c>
      <c r="I49" s="2">
        <v>0.6491</v>
      </c>
      <c r="J49" s="2">
        <v>0.4504</v>
      </c>
      <c r="K49" s="13">
        <f t="shared" si="2"/>
        <v>-0.3061161608</v>
      </c>
      <c r="M49" s="2" t="s">
        <v>22</v>
      </c>
      <c r="N49" s="2" t="s">
        <v>11</v>
      </c>
      <c r="O49" s="2">
        <v>0.3893</v>
      </c>
      <c r="P49" s="2">
        <v>0.3765</v>
      </c>
      <c r="Q49" s="3">
        <f t="shared" si="3"/>
        <v>-0.03287952736</v>
      </c>
    </row>
    <row r="50" ht="22.5" customHeight="1">
      <c r="A50" s="2" t="s">
        <v>23</v>
      </c>
      <c r="B50" s="2" t="s">
        <v>8</v>
      </c>
      <c r="C50" s="2">
        <v>0.7009</v>
      </c>
      <c r="D50" s="2">
        <v>0.7009</v>
      </c>
      <c r="E50" s="3">
        <f t="shared" si="1"/>
        <v>0</v>
      </c>
      <c r="G50" s="2" t="s">
        <v>23</v>
      </c>
      <c r="H50" s="2" t="s">
        <v>8</v>
      </c>
      <c r="I50" s="2">
        <v>0.7009</v>
      </c>
      <c r="J50" s="2">
        <v>0.7009</v>
      </c>
      <c r="K50" s="13">
        <f t="shared" si="2"/>
        <v>0</v>
      </c>
      <c r="M50" s="2" t="s">
        <v>23</v>
      </c>
      <c r="N50" s="2" t="s">
        <v>8</v>
      </c>
      <c r="O50" s="2">
        <v>0.7009</v>
      </c>
      <c r="P50" s="2">
        <v>0.7009</v>
      </c>
      <c r="Q50" s="3">
        <f t="shared" si="3"/>
        <v>0</v>
      </c>
    </row>
    <row r="51" ht="22.5" customHeight="1">
      <c r="A51" s="2" t="s">
        <v>23</v>
      </c>
      <c r="B51" s="2" t="s">
        <v>9</v>
      </c>
      <c r="C51" s="2">
        <v>0.7957</v>
      </c>
      <c r="D51" s="2">
        <v>0.814</v>
      </c>
      <c r="E51" s="3">
        <f t="shared" si="1"/>
        <v>0.02299861757</v>
      </c>
      <c r="G51" s="2" t="s">
        <v>23</v>
      </c>
      <c r="H51" s="2" t="s">
        <v>9</v>
      </c>
      <c r="I51" s="2">
        <v>0.7831</v>
      </c>
      <c r="J51" s="2">
        <v>0.8231</v>
      </c>
      <c r="K51" s="13">
        <f t="shared" si="2"/>
        <v>0.05107904482</v>
      </c>
      <c r="M51" s="2" t="s">
        <v>23</v>
      </c>
      <c r="N51" s="2" t="s">
        <v>9</v>
      </c>
      <c r="O51" s="2">
        <v>0.815</v>
      </c>
      <c r="P51" s="2">
        <v>0.8207</v>
      </c>
      <c r="Q51" s="3">
        <f t="shared" si="3"/>
        <v>0.006993865031</v>
      </c>
    </row>
    <row r="52" ht="22.5" customHeight="1">
      <c r="A52" s="2" t="s">
        <v>23</v>
      </c>
      <c r="B52" s="2" t="s">
        <v>10</v>
      </c>
      <c r="C52" s="2">
        <v>0.776</v>
      </c>
      <c r="D52" s="2">
        <v>0.8247</v>
      </c>
      <c r="E52" s="3">
        <f t="shared" si="1"/>
        <v>0.06275773196</v>
      </c>
      <c r="G52" s="2" t="s">
        <v>23</v>
      </c>
      <c r="H52" s="2" t="s">
        <v>10</v>
      </c>
      <c r="I52" s="2">
        <v>0.6807</v>
      </c>
      <c r="J52" s="2">
        <v>0.8514</v>
      </c>
      <c r="K52" s="13">
        <f t="shared" si="2"/>
        <v>0.2507712649</v>
      </c>
      <c r="M52" s="2" t="s">
        <v>23</v>
      </c>
      <c r="N52" s="2" t="s">
        <v>10</v>
      </c>
      <c r="O52" s="2">
        <v>0.8314</v>
      </c>
      <c r="P52" s="2">
        <v>0.8447</v>
      </c>
      <c r="Q52" s="3">
        <f t="shared" si="3"/>
        <v>0.0159971133</v>
      </c>
    </row>
    <row r="53" ht="22.5" customHeight="1">
      <c r="A53" s="2" t="s">
        <v>23</v>
      </c>
      <c r="B53" s="2" t="s">
        <v>11</v>
      </c>
      <c r="C53" s="2">
        <v>0.6505</v>
      </c>
      <c r="D53" s="2">
        <v>0.6434</v>
      </c>
      <c r="E53" s="3">
        <f t="shared" si="1"/>
        <v>-0.01091468101</v>
      </c>
      <c r="G53" s="2" t="s">
        <v>23</v>
      </c>
      <c r="H53" s="2" t="s">
        <v>11</v>
      </c>
      <c r="I53" s="2">
        <v>0.7173</v>
      </c>
      <c r="J53" s="2">
        <v>0.6389</v>
      </c>
      <c r="K53" s="13">
        <f t="shared" si="2"/>
        <v>-0.1092987592</v>
      </c>
      <c r="M53" s="2" t="s">
        <v>23</v>
      </c>
      <c r="N53" s="2" t="s">
        <v>11</v>
      </c>
      <c r="O53" s="2">
        <v>0.6416</v>
      </c>
      <c r="P53" s="2">
        <v>0.6436</v>
      </c>
      <c r="Q53" s="3">
        <f t="shared" si="3"/>
        <v>0.003117206983</v>
      </c>
    </row>
    <row r="54" ht="22.5" customHeight="1">
      <c r="A54" s="2" t="s">
        <v>24</v>
      </c>
      <c r="B54" s="2" t="s">
        <v>8</v>
      </c>
      <c r="C54" s="2">
        <v>0.7984</v>
      </c>
      <c r="D54" s="2">
        <v>0.7984</v>
      </c>
      <c r="E54" s="3">
        <f t="shared" si="1"/>
        <v>0</v>
      </c>
      <c r="G54" s="2" t="s">
        <v>24</v>
      </c>
      <c r="H54" s="2" t="s">
        <v>8</v>
      </c>
      <c r="I54" s="2">
        <v>0.7984</v>
      </c>
      <c r="J54" s="2">
        <v>0.7984</v>
      </c>
      <c r="K54" s="13">
        <f t="shared" si="2"/>
        <v>0</v>
      </c>
      <c r="M54" s="2" t="s">
        <v>24</v>
      </c>
      <c r="N54" s="2" t="s">
        <v>8</v>
      </c>
      <c r="O54" s="2">
        <v>0.7984</v>
      </c>
      <c r="P54" s="2">
        <v>0.7984</v>
      </c>
      <c r="Q54" s="3">
        <f t="shared" si="3"/>
        <v>0</v>
      </c>
    </row>
    <row r="55" ht="22.5" customHeight="1">
      <c r="A55" s="2" t="s">
        <v>24</v>
      </c>
      <c r="B55" s="2" t="s">
        <v>9</v>
      </c>
      <c r="C55" s="2">
        <v>0.8183</v>
      </c>
      <c r="D55" s="2">
        <v>0.8576</v>
      </c>
      <c r="E55" s="3">
        <f t="shared" si="1"/>
        <v>0.04802639619</v>
      </c>
      <c r="G55" s="2" t="s">
        <v>24</v>
      </c>
      <c r="H55" s="2" t="s">
        <v>9</v>
      </c>
      <c r="I55" s="2">
        <v>0.7797</v>
      </c>
      <c r="J55" s="2">
        <v>0.8728</v>
      </c>
      <c r="K55" s="13">
        <f t="shared" si="2"/>
        <v>0.1194048993</v>
      </c>
      <c r="M55" s="2" t="s">
        <v>24</v>
      </c>
      <c r="N55" s="2" t="s">
        <v>9</v>
      </c>
      <c r="O55" s="2">
        <v>0.8605</v>
      </c>
      <c r="P55" s="2">
        <v>0.8683</v>
      </c>
      <c r="Q55" s="3">
        <f t="shared" si="3"/>
        <v>0.009064497385</v>
      </c>
    </row>
    <row r="56" ht="22.5" customHeight="1">
      <c r="A56" s="2" t="s">
        <v>24</v>
      </c>
      <c r="B56" s="2" t="s">
        <v>10</v>
      </c>
      <c r="C56" s="2">
        <v>0.7496</v>
      </c>
      <c r="D56" s="2">
        <v>0.8546</v>
      </c>
      <c r="E56" s="3">
        <f t="shared" si="1"/>
        <v>0.1400747065</v>
      </c>
      <c r="G56" s="2" t="s">
        <v>24</v>
      </c>
      <c r="H56" s="2" t="s">
        <v>10</v>
      </c>
      <c r="I56" s="2">
        <v>0.6184</v>
      </c>
      <c r="J56" s="2">
        <v>0.8651</v>
      </c>
      <c r="K56" s="13">
        <f t="shared" si="2"/>
        <v>0.3989327296</v>
      </c>
      <c r="M56" s="2" t="s">
        <v>24</v>
      </c>
      <c r="N56" s="2" t="s">
        <v>10</v>
      </c>
      <c r="O56" s="2">
        <v>0.8714</v>
      </c>
      <c r="P56" s="2">
        <v>0.8977</v>
      </c>
      <c r="Q56" s="3">
        <f t="shared" si="3"/>
        <v>0.03018131742</v>
      </c>
    </row>
    <row r="57" ht="22.5" customHeight="1">
      <c r="A57" s="2" t="s">
        <v>24</v>
      </c>
      <c r="B57" s="2" t="s">
        <v>11</v>
      </c>
      <c r="C57" s="2">
        <v>0.6514</v>
      </c>
      <c r="D57" s="2">
        <v>0.6196</v>
      </c>
      <c r="E57" s="3">
        <f t="shared" si="1"/>
        <v>-0.04881793061</v>
      </c>
      <c r="G57" s="2" t="s">
        <v>24</v>
      </c>
      <c r="H57" s="2" t="s">
        <v>11</v>
      </c>
      <c r="I57" s="2">
        <v>0.7259</v>
      </c>
      <c r="J57" s="2">
        <v>0.6462</v>
      </c>
      <c r="K57" s="13">
        <f t="shared" si="2"/>
        <v>-0.1097947376</v>
      </c>
      <c r="M57" s="2" t="s">
        <v>24</v>
      </c>
      <c r="N57" s="2" t="s">
        <v>11</v>
      </c>
      <c r="O57" s="2">
        <v>0.5955</v>
      </c>
      <c r="P57" s="2">
        <v>0.5851</v>
      </c>
      <c r="Q57" s="3">
        <f t="shared" si="3"/>
        <v>-0.0174643157</v>
      </c>
    </row>
    <row r="58" ht="22.5" customHeight="1">
      <c r="A58" s="2" t="s">
        <v>25</v>
      </c>
      <c r="B58" s="2" t="s">
        <v>8</v>
      </c>
      <c r="C58" s="2">
        <v>0.8302</v>
      </c>
      <c r="D58" s="2">
        <v>0.8302</v>
      </c>
      <c r="E58" s="3">
        <f t="shared" si="1"/>
        <v>0</v>
      </c>
      <c r="G58" s="2" t="s">
        <v>25</v>
      </c>
      <c r="H58" s="2" t="s">
        <v>8</v>
      </c>
      <c r="I58" s="2">
        <v>0.8302</v>
      </c>
      <c r="J58" s="2">
        <v>0.8302</v>
      </c>
      <c r="K58" s="13">
        <f t="shared" si="2"/>
        <v>0</v>
      </c>
      <c r="M58" s="2" t="s">
        <v>25</v>
      </c>
      <c r="N58" s="2" t="s">
        <v>8</v>
      </c>
      <c r="O58" s="2">
        <v>0.8302</v>
      </c>
      <c r="P58" s="2">
        <v>0.8302</v>
      </c>
      <c r="Q58" s="3">
        <f t="shared" si="3"/>
        <v>0</v>
      </c>
    </row>
    <row r="59" ht="22.5" customHeight="1">
      <c r="A59" s="2" t="s">
        <v>25</v>
      </c>
      <c r="B59" s="2" t="s">
        <v>9</v>
      </c>
      <c r="C59" s="2">
        <v>0.7455</v>
      </c>
      <c r="D59" s="2">
        <v>0.7898</v>
      </c>
      <c r="E59" s="3">
        <f t="shared" si="1"/>
        <v>0.0594232059</v>
      </c>
      <c r="G59" s="2" t="s">
        <v>25</v>
      </c>
      <c r="H59" s="2" t="s">
        <v>9</v>
      </c>
      <c r="I59" s="2">
        <v>0.6719</v>
      </c>
      <c r="J59" s="2">
        <v>0.7908</v>
      </c>
      <c r="K59" s="13">
        <f t="shared" si="2"/>
        <v>0.1769608573</v>
      </c>
      <c r="M59" s="2" t="s">
        <v>25</v>
      </c>
      <c r="N59" s="2" t="s">
        <v>9</v>
      </c>
      <c r="O59" s="2">
        <v>0.7939</v>
      </c>
      <c r="P59" s="2">
        <v>0.801</v>
      </c>
      <c r="Q59" s="3">
        <f t="shared" si="3"/>
        <v>0.008943191838</v>
      </c>
    </row>
    <row r="60" ht="22.5" customHeight="1">
      <c r="A60" s="2" t="s">
        <v>25</v>
      </c>
      <c r="B60" s="2" t="s">
        <v>10</v>
      </c>
      <c r="C60" s="2">
        <v>0.7498</v>
      </c>
      <c r="D60" s="2">
        <v>0.7968</v>
      </c>
      <c r="E60" s="3">
        <f t="shared" si="1"/>
        <v>0.06268338224</v>
      </c>
      <c r="G60" s="2" t="s">
        <v>25</v>
      </c>
      <c r="H60" s="2" t="s">
        <v>10</v>
      </c>
      <c r="I60" s="2">
        <v>0.375</v>
      </c>
      <c r="J60" s="2">
        <v>0.707</v>
      </c>
      <c r="K60" s="13">
        <f t="shared" si="2"/>
        <v>0.8853333333</v>
      </c>
      <c r="M60" s="2" t="s">
        <v>25</v>
      </c>
      <c r="N60" s="2" t="s">
        <v>10</v>
      </c>
      <c r="O60" s="2">
        <v>0.7812</v>
      </c>
      <c r="P60" s="2">
        <v>0.7968</v>
      </c>
      <c r="Q60" s="3">
        <f t="shared" si="3"/>
        <v>0.01996927803</v>
      </c>
    </row>
    <row r="61" ht="22.5" customHeight="1">
      <c r="A61" s="2" t="s">
        <v>25</v>
      </c>
      <c r="B61" s="2" t="s">
        <v>11</v>
      </c>
      <c r="C61" s="2">
        <v>0.4103</v>
      </c>
      <c r="D61" s="2">
        <v>0.4363</v>
      </c>
      <c r="E61" s="3">
        <f t="shared" si="1"/>
        <v>0.06336826712</v>
      </c>
      <c r="G61" s="2" t="s">
        <v>25</v>
      </c>
      <c r="H61" s="2" t="s">
        <v>11</v>
      </c>
      <c r="I61" s="2">
        <v>0.7111</v>
      </c>
      <c r="J61" s="2">
        <v>0.5355</v>
      </c>
      <c r="K61" s="13">
        <f t="shared" si="2"/>
        <v>-0.2469413585</v>
      </c>
      <c r="M61" s="2" t="s">
        <v>25</v>
      </c>
      <c r="N61" s="2" t="s">
        <v>11</v>
      </c>
      <c r="O61" s="2">
        <v>0.4545</v>
      </c>
      <c r="P61" s="2">
        <v>0.4572</v>
      </c>
      <c r="Q61" s="3">
        <f t="shared" si="3"/>
        <v>0.005940594059</v>
      </c>
    </row>
    <row r="62" ht="22.5" customHeight="1">
      <c r="A62" s="2" t="s">
        <v>26</v>
      </c>
      <c r="B62" s="2" t="s">
        <v>8</v>
      </c>
      <c r="C62" s="2">
        <v>0.7699</v>
      </c>
      <c r="D62" s="2">
        <v>0.7699</v>
      </c>
      <c r="E62" s="3">
        <f t="shared" si="1"/>
        <v>0</v>
      </c>
      <c r="G62" s="2" t="s">
        <v>26</v>
      </c>
      <c r="H62" s="2" t="s">
        <v>8</v>
      </c>
      <c r="I62" s="2">
        <v>0.7699</v>
      </c>
      <c r="J62" s="2">
        <v>0.7699</v>
      </c>
      <c r="K62" s="13">
        <f t="shared" si="2"/>
        <v>0</v>
      </c>
      <c r="M62" s="2" t="s">
        <v>26</v>
      </c>
      <c r="N62" s="2" t="s">
        <v>8</v>
      </c>
      <c r="O62" s="2">
        <v>0.7699</v>
      </c>
      <c r="P62" s="2">
        <v>0.7699</v>
      </c>
      <c r="Q62" s="3">
        <f t="shared" si="3"/>
        <v>0</v>
      </c>
    </row>
    <row r="63" ht="22.5" customHeight="1">
      <c r="A63" s="2" t="s">
        <v>26</v>
      </c>
      <c r="B63" s="2" t="s">
        <v>9</v>
      </c>
      <c r="C63" s="2">
        <v>0.8272</v>
      </c>
      <c r="D63" s="2">
        <v>0.8501</v>
      </c>
      <c r="E63" s="3">
        <f t="shared" si="1"/>
        <v>0.02768375242</v>
      </c>
      <c r="G63" s="2" t="s">
        <v>26</v>
      </c>
      <c r="H63" s="2" t="s">
        <v>9</v>
      </c>
      <c r="I63" s="2">
        <v>0.7949</v>
      </c>
      <c r="J63" s="2">
        <v>0.866</v>
      </c>
      <c r="K63" s="13">
        <f t="shared" si="2"/>
        <v>0.08944521323</v>
      </c>
      <c r="M63" s="2" t="s">
        <v>26</v>
      </c>
      <c r="N63" s="2" t="s">
        <v>9</v>
      </c>
      <c r="O63" s="2">
        <v>0.8548</v>
      </c>
      <c r="P63" s="2">
        <v>0.8608</v>
      </c>
      <c r="Q63" s="3">
        <f t="shared" si="3"/>
        <v>0.007019185774</v>
      </c>
    </row>
    <row r="64" ht="22.5" customHeight="1">
      <c r="A64" s="2" t="s">
        <v>26</v>
      </c>
      <c r="B64" s="2" t="s">
        <v>10</v>
      </c>
      <c r="C64" s="2">
        <v>0.8587</v>
      </c>
      <c r="D64" s="2">
        <v>0.8586</v>
      </c>
      <c r="E64" s="3">
        <f t="shared" si="1"/>
        <v>-0.0001164551066</v>
      </c>
      <c r="G64" s="2" t="s">
        <v>26</v>
      </c>
      <c r="H64" s="2" t="s">
        <v>10</v>
      </c>
      <c r="I64" s="2">
        <v>0.6571</v>
      </c>
      <c r="J64" s="2">
        <v>0.8646</v>
      </c>
      <c r="K64" s="13">
        <f t="shared" si="2"/>
        <v>0.315781464</v>
      </c>
      <c r="M64" s="2" t="s">
        <v>26</v>
      </c>
      <c r="N64" s="2" t="s">
        <v>10</v>
      </c>
      <c r="O64" s="2">
        <v>0.8759</v>
      </c>
      <c r="P64" s="2">
        <v>0.8991</v>
      </c>
      <c r="Q64" s="3">
        <f t="shared" si="3"/>
        <v>0.0264870419</v>
      </c>
    </row>
    <row r="65" ht="22.5" customHeight="1">
      <c r="A65" s="2" t="s">
        <v>26</v>
      </c>
      <c r="B65" s="2" t="s">
        <v>11</v>
      </c>
      <c r="C65" s="2">
        <v>0.5687</v>
      </c>
      <c r="D65" s="2">
        <v>0.6207</v>
      </c>
      <c r="E65" s="3">
        <f t="shared" si="1"/>
        <v>0.09143660981</v>
      </c>
      <c r="G65" s="2" t="s">
        <v>26</v>
      </c>
      <c r="H65" s="2" t="s">
        <v>11</v>
      </c>
      <c r="I65" s="2">
        <v>0.7451</v>
      </c>
      <c r="J65" s="2">
        <v>0.6608</v>
      </c>
      <c r="K65" s="13">
        <f t="shared" si="2"/>
        <v>-0.1131391759</v>
      </c>
      <c r="M65" s="2" t="s">
        <v>26</v>
      </c>
      <c r="N65" s="2" t="s">
        <v>11</v>
      </c>
      <c r="O65" s="2">
        <v>0.6143</v>
      </c>
      <c r="P65" s="2">
        <v>0.6042</v>
      </c>
      <c r="Q65" s="3">
        <f t="shared" si="3"/>
        <v>-0.01644147811</v>
      </c>
    </row>
    <row r="66" ht="22.5" customHeight="1">
      <c r="A66" s="2" t="s">
        <v>27</v>
      </c>
      <c r="B66" s="2" t="s">
        <v>8</v>
      </c>
      <c r="C66" s="2">
        <v>0.5623</v>
      </c>
      <c r="D66" s="2">
        <v>0.5623</v>
      </c>
      <c r="E66" s="3">
        <f t="shared" si="1"/>
        <v>0</v>
      </c>
      <c r="G66" s="2" t="s">
        <v>27</v>
      </c>
      <c r="H66" s="2" t="s">
        <v>8</v>
      </c>
      <c r="I66" s="2">
        <v>0.5623</v>
      </c>
      <c r="J66" s="2">
        <v>0.5623</v>
      </c>
      <c r="K66" s="13">
        <f t="shared" si="2"/>
        <v>0</v>
      </c>
      <c r="M66" s="2" t="s">
        <v>27</v>
      </c>
      <c r="N66" s="2" t="s">
        <v>8</v>
      </c>
      <c r="O66" s="2">
        <v>0.5623</v>
      </c>
      <c r="P66" s="2">
        <v>0.5623</v>
      </c>
      <c r="Q66" s="3">
        <f t="shared" si="3"/>
        <v>0</v>
      </c>
    </row>
    <row r="67" ht="22.5" customHeight="1">
      <c r="A67" s="2" t="s">
        <v>27</v>
      </c>
      <c r="B67" s="2" t="s">
        <v>9</v>
      </c>
      <c r="C67" s="2">
        <v>0.7328</v>
      </c>
      <c r="D67" s="2">
        <v>0.7672</v>
      </c>
      <c r="E67" s="3">
        <f t="shared" si="1"/>
        <v>0.04694323144</v>
      </c>
      <c r="G67" s="2" t="s">
        <v>27</v>
      </c>
      <c r="H67" s="2" t="s">
        <v>9</v>
      </c>
      <c r="I67" s="2">
        <v>0.7701</v>
      </c>
      <c r="J67" s="2">
        <v>0.7744</v>
      </c>
      <c r="K67" s="13">
        <f t="shared" si="2"/>
        <v>0.00558369043</v>
      </c>
      <c r="M67" s="2" t="s">
        <v>27</v>
      </c>
      <c r="N67" s="2" t="s">
        <v>9</v>
      </c>
      <c r="O67" s="2">
        <v>0.7665</v>
      </c>
      <c r="P67" s="2">
        <v>0.7671</v>
      </c>
      <c r="Q67" s="3">
        <f t="shared" si="3"/>
        <v>0.000782778865</v>
      </c>
    </row>
    <row r="68" ht="22.5" customHeight="1">
      <c r="A68" s="2" t="s">
        <v>27</v>
      </c>
      <c r="B68" s="2" t="s">
        <v>10</v>
      </c>
      <c r="C68" s="2">
        <v>0.6367</v>
      </c>
      <c r="D68" s="2">
        <v>0.757</v>
      </c>
      <c r="E68" s="3">
        <f t="shared" si="1"/>
        <v>0.1889429873</v>
      </c>
      <c r="G68" s="2" t="s">
        <v>27</v>
      </c>
      <c r="H68" s="2" t="s">
        <v>10</v>
      </c>
      <c r="I68" s="2">
        <v>0.8219</v>
      </c>
      <c r="J68" s="2">
        <v>0.7913</v>
      </c>
      <c r="K68" s="13">
        <f t="shared" si="2"/>
        <v>-0.03723080667</v>
      </c>
      <c r="M68" s="2" t="s">
        <v>27</v>
      </c>
      <c r="N68" s="2" t="s">
        <v>10</v>
      </c>
      <c r="O68" s="2">
        <v>0.7618</v>
      </c>
      <c r="P68" s="2">
        <v>0.763</v>
      </c>
      <c r="Q68" s="3">
        <f t="shared" si="3"/>
        <v>0.001575216592</v>
      </c>
    </row>
    <row r="69" ht="22.5" customHeight="1">
      <c r="A69" s="2" t="s">
        <v>27</v>
      </c>
      <c r="B69" s="2" t="s">
        <v>11</v>
      </c>
      <c r="C69" s="2">
        <v>0.831</v>
      </c>
      <c r="D69" s="2">
        <v>0.8136</v>
      </c>
      <c r="E69" s="3">
        <f t="shared" si="1"/>
        <v>-0.02093862816</v>
      </c>
      <c r="G69" s="2" t="s">
        <v>27</v>
      </c>
      <c r="H69" s="2" t="s">
        <v>11</v>
      </c>
      <c r="I69" s="2">
        <v>0.7894</v>
      </c>
      <c r="J69" s="2">
        <v>0.8075</v>
      </c>
      <c r="K69" s="13">
        <f t="shared" si="2"/>
        <v>0.02292880669</v>
      </c>
      <c r="M69" s="2" t="s">
        <v>27</v>
      </c>
      <c r="N69" s="2" t="s">
        <v>11</v>
      </c>
      <c r="O69" s="2">
        <v>0.8106</v>
      </c>
      <c r="P69" s="2">
        <v>0.8109</v>
      </c>
      <c r="Q69" s="3">
        <f t="shared" si="3"/>
        <v>0.000370096225</v>
      </c>
    </row>
    <row r="70" ht="22.5" customHeight="1">
      <c r="A70" s="2" t="s">
        <v>28</v>
      </c>
      <c r="B70" s="2" t="s">
        <v>8</v>
      </c>
      <c r="C70" s="2">
        <v>0.9496</v>
      </c>
      <c r="D70" s="2">
        <v>0.9496</v>
      </c>
      <c r="E70" s="3">
        <f t="shared" si="1"/>
        <v>0</v>
      </c>
      <c r="G70" s="2" t="s">
        <v>28</v>
      </c>
      <c r="H70" s="2" t="s">
        <v>8</v>
      </c>
      <c r="I70" s="2">
        <v>0.9496</v>
      </c>
      <c r="J70" s="2">
        <v>0.9496</v>
      </c>
      <c r="K70" s="13">
        <f t="shared" si="2"/>
        <v>0</v>
      </c>
      <c r="M70" s="2" t="s">
        <v>28</v>
      </c>
      <c r="N70" s="2" t="s">
        <v>8</v>
      </c>
      <c r="O70" s="2">
        <v>0.9496</v>
      </c>
      <c r="P70" s="2">
        <v>0.9496</v>
      </c>
      <c r="Q70" s="3">
        <f t="shared" si="3"/>
        <v>0</v>
      </c>
    </row>
    <row r="71" ht="22.5" customHeight="1">
      <c r="A71" s="2" t="s">
        <v>28</v>
      </c>
      <c r="B71" s="2" t="s">
        <v>9</v>
      </c>
      <c r="C71" s="2">
        <v>0.7015</v>
      </c>
      <c r="D71" s="2">
        <v>0.7348</v>
      </c>
      <c r="E71" s="3">
        <f t="shared" si="1"/>
        <v>0.04746970777</v>
      </c>
      <c r="G71" s="2" t="s">
        <v>28</v>
      </c>
      <c r="H71" s="2" t="s">
        <v>9</v>
      </c>
      <c r="I71" s="2">
        <v>0.5</v>
      </c>
      <c r="J71" s="2">
        <v>0.628</v>
      </c>
      <c r="K71" s="13">
        <f t="shared" si="2"/>
        <v>0.256</v>
      </c>
      <c r="M71" s="2" t="s">
        <v>28</v>
      </c>
      <c r="N71" s="2" t="s">
        <v>9</v>
      </c>
      <c r="O71" s="2">
        <v>0.7179</v>
      </c>
      <c r="P71" s="2">
        <v>0.7569</v>
      </c>
      <c r="Q71" s="3">
        <f t="shared" si="3"/>
        <v>0.05432511492</v>
      </c>
    </row>
    <row r="72" ht="22.5" customHeight="1">
      <c r="A72" s="2" t="s">
        <v>28</v>
      </c>
      <c r="B72" s="2" t="s">
        <v>10</v>
      </c>
      <c r="C72" s="2">
        <v>0.6942</v>
      </c>
      <c r="D72" s="2">
        <v>0.7608</v>
      </c>
      <c r="E72" s="3">
        <f t="shared" si="1"/>
        <v>0.0959377701</v>
      </c>
      <c r="G72" s="2" t="s">
        <v>28</v>
      </c>
      <c r="H72" s="2" t="s">
        <v>10</v>
      </c>
      <c r="I72" s="2">
        <v>0.0</v>
      </c>
      <c r="J72" s="2">
        <v>0.2895</v>
      </c>
      <c r="K72" s="13" t="str">
        <f t="shared" si="2"/>
        <v>#DIV/0!</v>
      </c>
      <c r="M72" s="2" t="s">
        <v>28</v>
      </c>
      <c r="N72" s="2" t="s">
        <v>10</v>
      </c>
      <c r="O72" s="2">
        <v>0.6808</v>
      </c>
      <c r="P72" s="2">
        <v>0.8142</v>
      </c>
      <c r="Q72" s="3">
        <f t="shared" si="3"/>
        <v>0.1959459459</v>
      </c>
    </row>
    <row r="73" ht="22.5" customHeight="1">
      <c r="A73" s="2" t="s">
        <v>28</v>
      </c>
      <c r="B73" s="2" t="s">
        <v>11</v>
      </c>
      <c r="C73" s="2">
        <v>0.1187</v>
      </c>
      <c r="D73" s="2">
        <v>0.1226</v>
      </c>
      <c r="E73" s="3">
        <f t="shared" si="1"/>
        <v>0.03285593934</v>
      </c>
      <c r="G73" s="2" t="s">
        <v>28</v>
      </c>
      <c r="H73" s="2" t="s">
        <v>11</v>
      </c>
      <c r="I73" s="2">
        <v>0.0</v>
      </c>
      <c r="J73" s="2">
        <v>0.3143</v>
      </c>
      <c r="K73" s="13" t="str">
        <f t="shared" si="2"/>
        <v>#DIV/0!</v>
      </c>
      <c r="M73" s="2" t="s">
        <v>28</v>
      </c>
      <c r="N73" s="2" t="s">
        <v>11</v>
      </c>
      <c r="O73" s="2">
        <v>0.1268</v>
      </c>
      <c r="P73" s="2">
        <v>0.1257</v>
      </c>
      <c r="Q73" s="3">
        <f t="shared" si="3"/>
        <v>-0.008675078864</v>
      </c>
    </row>
  </sheetData>
  <conditionalFormatting sqref="E2:E73">
    <cfRule type="cellIs" dxfId="5" priority="1" operator="greaterThan">
      <formula>0</formula>
    </cfRule>
  </conditionalFormatting>
  <conditionalFormatting sqref="E2:E73">
    <cfRule type="cellIs" dxfId="6" priority="2" operator="lessThan">
      <formula>0</formula>
    </cfRule>
  </conditionalFormatting>
  <conditionalFormatting sqref="Q2:Q73">
    <cfRule type="cellIs" dxfId="5" priority="3" operator="greaterThan">
      <formula>0</formula>
    </cfRule>
  </conditionalFormatting>
  <conditionalFormatting sqref="Q2:Q73">
    <cfRule type="cellIs" dxfId="5" priority="4" operator="lessThan">
      <formula>0</formula>
    </cfRule>
  </conditionalFormatting>
  <conditionalFormatting sqref="K2:K73">
    <cfRule type="cellIs" dxfId="5" priority="5" operator="greaterThan">
      <formula>0</formula>
    </cfRule>
  </conditionalFormatting>
  <conditionalFormatting sqref="K2:K73">
    <cfRule type="cellIs" dxfId="6" priority="6" operator="lessThan">
      <formula>0</formula>
    </cfRule>
  </conditionalFormatting>
  <dataValidations>
    <dataValidation type="custom" allowBlank="1" showDropDown="1" sqref="K2:K73 Q2:Q73 E2:E73">
      <formula1>AND(ISNUMBER(E2),(NOT(OR(NOT(ISERROR(DATEVALUE(E2))), AND(ISNUMBER(E2), LEFT(CELL("format", E2))="D")))))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6" t="s">
        <v>29</v>
      </c>
      <c r="M1" s="6" t="s">
        <v>10</v>
      </c>
    </row>
    <row r="2">
      <c r="H2" s="6" t="s">
        <v>11</v>
      </c>
    </row>
    <row r="3">
      <c r="B3" s="6" t="s">
        <v>30</v>
      </c>
      <c r="C3" s="6" t="s">
        <v>31</v>
      </c>
      <c r="D3" s="6" t="s">
        <v>32</v>
      </c>
      <c r="L3" s="6" t="s">
        <v>30</v>
      </c>
      <c r="M3" s="6" t="s">
        <v>31</v>
      </c>
      <c r="N3" s="6" t="s">
        <v>32</v>
      </c>
      <c r="P3" s="6" t="s">
        <v>30</v>
      </c>
      <c r="Q3" s="6">
        <v>16.0</v>
      </c>
    </row>
    <row r="4">
      <c r="A4" s="6" t="s">
        <v>7</v>
      </c>
      <c r="B4" s="6">
        <v>0.6653</v>
      </c>
      <c r="C4" s="6">
        <v>0.5956</v>
      </c>
      <c r="D4" s="10">
        <v>0.6813</v>
      </c>
      <c r="G4" s="6" t="s">
        <v>30</v>
      </c>
      <c r="H4" s="6" t="s">
        <v>31</v>
      </c>
      <c r="I4" s="6" t="s">
        <v>32</v>
      </c>
      <c r="K4" s="6" t="s">
        <v>7</v>
      </c>
      <c r="L4" s="6">
        <v>0.5955</v>
      </c>
      <c r="M4" s="10">
        <v>0.9342</v>
      </c>
      <c r="N4" s="6">
        <v>0.6919</v>
      </c>
      <c r="P4" s="6" t="s">
        <v>31</v>
      </c>
      <c r="Q4" s="6">
        <v>25.0</v>
      </c>
    </row>
    <row r="5">
      <c r="A5" s="6" t="s">
        <v>12</v>
      </c>
      <c r="B5" s="6">
        <v>0.8179</v>
      </c>
      <c r="C5" s="6">
        <v>0.8171</v>
      </c>
      <c r="D5" s="10">
        <v>0.822</v>
      </c>
      <c r="F5" s="6" t="s">
        <v>7</v>
      </c>
      <c r="G5" s="10">
        <v>0.9675</v>
      </c>
      <c r="H5" s="6">
        <v>0.9416</v>
      </c>
      <c r="I5" s="10">
        <v>0.9644</v>
      </c>
      <c r="K5" s="6" t="s">
        <v>12</v>
      </c>
      <c r="L5" s="10">
        <v>0.8481</v>
      </c>
      <c r="M5" s="6">
        <v>0.8138</v>
      </c>
      <c r="N5" s="10">
        <v>0.8424</v>
      </c>
      <c r="P5" s="6" t="s">
        <v>32</v>
      </c>
      <c r="Q5" s="6">
        <v>26.0</v>
      </c>
    </row>
    <row r="6">
      <c r="A6" s="6" t="s">
        <v>13</v>
      </c>
      <c r="B6" s="6">
        <v>0.7384</v>
      </c>
      <c r="C6" s="6">
        <v>0.6609</v>
      </c>
      <c r="D6" s="10">
        <v>0.7676</v>
      </c>
      <c r="F6" s="6" t="s">
        <v>12</v>
      </c>
      <c r="G6" s="6">
        <v>0.5471</v>
      </c>
      <c r="H6" s="10">
        <v>0.5772</v>
      </c>
      <c r="I6" s="6">
        <v>0.5622</v>
      </c>
      <c r="K6" s="6" t="s">
        <v>13</v>
      </c>
      <c r="L6" s="6">
        <v>0.7165</v>
      </c>
      <c r="M6" s="6">
        <v>0.3774</v>
      </c>
      <c r="N6" s="10">
        <v>0.755</v>
      </c>
    </row>
    <row r="7">
      <c r="A7" s="6" t="s">
        <v>14</v>
      </c>
      <c r="B7" s="10">
        <v>0.7699</v>
      </c>
      <c r="C7" s="6">
        <v>0.7684</v>
      </c>
      <c r="D7" s="6">
        <v>0.7689</v>
      </c>
      <c r="F7" s="6" t="s">
        <v>13</v>
      </c>
      <c r="G7" s="6">
        <v>0.1907</v>
      </c>
      <c r="H7" s="10">
        <v>0.339</v>
      </c>
      <c r="I7" s="6">
        <v>0.2062</v>
      </c>
      <c r="K7" s="6" t="s">
        <v>14</v>
      </c>
      <c r="L7" s="10">
        <v>0.7221</v>
      </c>
      <c r="M7" s="6">
        <v>0.6729</v>
      </c>
      <c r="N7" s="10">
        <v>0.7267</v>
      </c>
    </row>
    <row r="8">
      <c r="A8" s="6" t="s">
        <v>15</v>
      </c>
      <c r="B8" s="10">
        <v>0.6546</v>
      </c>
      <c r="C8" s="6">
        <v>0.5162</v>
      </c>
      <c r="D8" s="6">
        <v>0.6357</v>
      </c>
      <c r="F8" s="6" t="s">
        <v>14</v>
      </c>
      <c r="G8" s="6">
        <v>0.6113</v>
      </c>
      <c r="H8" s="10">
        <v>0.6621</v>
      </c>
      <c r="I8" s="6">
        <v>0.6044</v>
      </c>
      <c r="K8" s="6" t="s">
        <v>15</v>
      </c>
      <c r="L8" s="6">
        <v>0.6559</v>
      </c>
      <c r="M8" s="10">
        <v>0.9712</v>
      </c>
      <c r="N8" s="6">
        <v>0.658</v>
      </c>
    </row>
    <row r="9">
      <c r="A9" s="6" t="s">
        <v>16</v>
      </c>
      <c r="B9" s="6">
        <v>0.8623</v>
      </c>
      <c r="C9" s="10">
        <v>0.8717</v>
      </c>
      <c r="D9" s="6">
        <v>0.858</v>
      </c>
      <c r="F9" s="6" t="s">
        <v>15</v>
      </c>
      <c r="G9" s="10">
        <v>0.9828</v>
      </c>
      <c r="H9" s="6">
        <v>0.9686</v>
      </c>
      <c r="I9" s="10">
        <v>0.981</v>
      </c>
      <c r="K9" s="6" t="s">
        <v>16</v>
      </c>
      <c r="L9" s="6">
        <v>0.8248</v>
      </c>
      <c r="M9" s="10">
        <v>0.8874</v>
      </c>
      <c r="N9" s="6">
        <v>0.826</v>
      </c>
    </row>
    <row r="10">
      <c r="A10" s="6" t="s">
        <v>17</v>
      </c>
      <c r="B10" s="10">
        <v>0.6081</v>
      </c>
      <c r="C10" s="6">
        <v>0.5</v>
      </c>
      <c r="D10" s="10">
        <v>0.6085</v>
      </c>
      <c r="F10" s="6" t="s">
        <v>16</v>
      </c>
      <c r="G10" s="10">
        <v>0.9032</v>
      </c>
      <c r="H10" s="6">
        <v>0.8742</v>
      </c>
      <c r="I10" s="6">
        <v>0.8948</v>
      </c>
      <c r="K10" s="6" t="s">
        <v>17</v>
      </c>
      <c r="L10" s="6">
        <v>0.7234</v>
      </c>
      <c r="M10" s="10">
        <v>1.0</v>
      </c>
      <c r="N10" s="6">
        <v>0.7385</v>
      </c>
    </row>
    <row r="11">
      <c r="A11" s="6" t="s">
        <v>18</v>
      </c>
      <c r="B11" s="10">
        <v>0.8454</v>
      </c>
      <c r="C11" s="6">
        <v>0.8343</v>
      </c>
      <c r="D11" s="10">
        <v>0.8442</v>
      </c>
      <c r="F11" s="6" t="s">
        <v>17</v>
      </c>
      <c r="G11" s="10">
        <v>0.9831</v>
      </c>
      <c r="H11" s="6">
        <v>0.9761</v>
      </c>
      <c r="I11" s="10">
        <v>0.983</v>
      </c>
      <c r="K11" s="6" t="s">
        <v>18</v>
      </c>
      <c r="L11" s="10">
        <v>0.8713</v>
      </c>
      <c r="M11" s="6">
        <v>0.8024</v>
      </c>
      <c r="N11" s="6">
        <v>0.8562</v>
      </c>
    </row>
    <row r="12">
      <c r="A12" s="6" t="s">
        <v>19</v>
      </c>
      <c r="B12" s="10">
        <v>0.8467</v>
      </c>
      <c r="C12" s="6">
        <v>0.6887</v>
      </c>
      <c r="D12" s="10">
        <v>0.8475</v>
      </c>
      <c r="F12" s="6" t="s">
        <v>18</v>
      </c>
      <c r="G12" s="6">
        <v>0.5791</v>
      </c>
      <c r="H12" s="10">
        <v>0.6306</v>
      </c>
      <c r="I12" s="6">
        <v>0.5936</v>
      </c>
      <c r="K12" s="6" t="s">
        <v>19</v>
      </c>
      <c r="L12" s="10">
        <v>0.8705</v>
      </c>
      <c r="M12" s="6">
        <v>0.4127</v>
      </c>
      <c r="N12" s="6">
        <v>0.841</v>
      </c>
    </row>
    <row r="13">
      <c r="A13" s="6" t="s">
        <v>20</v>
      </c>
      <c r="B13" s="6">
        <v>0.8457</v>
      </c>
      <c r="C13" s="10">
        <v>0.8574</v>
      </c>
      <c r="D13" s="6">
        <v>0.8489</v>
      </c>
      <c r="F13" s="6" t="s">
        <v>19</v>
      </c>
      <c r="G13" s="6">
        <v>0.1796</v>
      </c>
      <c r="H13" s="10">
        <v>0.3377</v>
      </c>
      <c r="I13" s="6">
        <v>0.201</v>
      </c>
      <c r="K13" s="6" t="s">
        <v>20</v>
      </c>
      <c r="L13" s="6">
        <v>0.8551</v>
      </c>
      <c r="M13" s="10">
        <v>0.8647</v>
      </c>
      <c r="N13" s="6">
        <v>0.8551</v>
      </c>
    </row>
    <row r="14">
      <c r="A14" s="6" t="s">
        <v>21</v>
      </c>
      <c r="B14" s="6">
        <v>0.8324</v>
      </c>
      <c r="C14" s="6">
        <v>0.7579</v>
      </c>
      <c r="D14" s="10">
        <v>0.8468</v>
      </c>
      <c r="F14" s="6" t="s">
        <v>20</v>
      </c>
      <c r="G14" s="6">
        <v>0.6663</v>
      </c>
      <c r="H14" s="10">
        <v>0.6858</v>
      </c>
      <c r="I14" s="6">
        <v>0.6743</v>
      </c>
      <c r="K14" s="6" t="s">
        <v>21</v>
      </c>
      <c r="L14" s="6">
        <v>0.807</v>
      </c>
      <c r="M14" s="6">
        <v>0.5638</v>
      </c>
      <c r="N14" s="10">
        <v>0.8825</v>
      </c>
    </row>
    <row r="15">
      <c r="A15" s="6" t="s">
        <v>22</v>
      </c>
      <c r="B15" s="6">
        <v>0.8439</v>
      </c>
      <c r="C15" s="6">
        <v>0.8018</v>
      </c>
      <c r="D15" s="10">
        <v>0.8592</v>
      </c>
      <c r="F15" s="6" t="s">
        <v>21</v>
      </c>
      <c r="G15" s="6">
        <v>0.2767</v>
      </c>
      <c r="H15" s="10">
        <v>0.438</v>
      </c>
      <c r="I15" s="6">
        <v>0.2385</v>
      </c>
      <c r="K15" s="6" t="s">
        <v>22</v>
      </c>
      <c r="L15" s="6">
        <v>0.8613</v>
      </c>
      <c r="M15" s="6">
        <v>0.7108</v>
      </c>
      <c r="N15" s="10">
        <v>0.9039</v>
      </c>
    </row>
    <row r="16">
      <c r="A16" s="6" t="s">
        <v>23</v>
      </c>
      <c r="B16" s="6">
        <v>0.814</v>
      </c>
      <c r="C16" s="10">
        <v>0.8231</v>
      </c>
      <c r="D16" s="10">
        <v>0.8207</v>
      </c>
      <c r="F16" s="6" t="s">
        <v>22</v>
      </c>
      <c r="G16" s="6">
        <v>0.3828</v>
      </c>
      <c r="H16" s="10">
        <v>0.4504</v>
      </c>
      <c r="I16" s="6">
        <v>0.3765</v>
      </c>
      <c r="K16" s="6" t="s">
        <v>23</v>
      </c>
      <c r="L16" s="6">
        <v>0.8247</v>
      </c>
      <c r="M16" s="10">
        <v>0.8514</v>
      </c>
      <c r="N16" s="6">
        <v>0.8447</v>
      </c>
    </row>
    <row r="17">
      <c r="A17" s="6" t="s">
        <v>24</v>
      </c>
      <c r="B17" s="6">
        <v>0.8576</v>
      </c>
      <c r="C17" s="10">
        <v>0.8728</v>
      </c>
      <c r="D17" s="6">
        <v>0.8683</v>
      </c>
      <c r="F17" s="6" t="s">
        <v>23</v>
      </c>
      <c r="G17" s="10">
        <v>0.6434</v>
      </c>
      <c r="H17" s="6">
        <v>0.6389</v>
      </c>
      <c r="I17" s="10">
        <v>0.6436</v>
      </c>
      <c r="K17" s="6" t="s">
        <v>24</v>
      </c>
      <c r="L17" s="6">
        <v>0.8546</v>
      </c>
      <c r="M17" s="6">
        <v>0.8651</v>
      </c>
      <c r="N17" s="10">
        <v>0.8977</v>
      </c>
    </row>
    <row r="18">
      <c r="A18" s="6" t="s">
        <v>25</v>
      </c>
      <c r="B18" s="6">
        <v>0.7898</v>
      </c>
      <c r="C18" s="6">
        <v>0.7908</v>
      </c>
      <c r="D18" s="10">
        <v>0.801</v>
      </c>
      <c r="F18" s="6" t="s">
        <v>24</v>
      </c>
      <c r="G18" s="6">
        <v>0.6196</v>
      </c>
      <c r="H18" s="10">
        <v>0.6462</v>
      </c>
      <c r="I18" s="6">
        <v>0.5851</v>
      </c>
      <c r="K18" s="6" t="s">
        <v>25</v>
      </c>
      <c r="L18" s="10">
        <v>0.7968</v>
      </c>
      <c r="M18" s="6">
        <v>0.707</v>
      </c>
      <c r="N18" s="10">
        <v>0.7968</v>
      </c>
    </row>
    <row r="19">
      <c r="A19" s="6" t="s">
        <v>26</v>
      </c>
      <c r="B19" s="6">
        <v>0.8501</v>
      </c>
      <c r="C19" s="10">
        <v>0.866</v>
      </c>
      <c r="D19" s="10">
        <v>0.8608</v>
      </c>
      <c r="F19" s="6" t="s">
        <v>25</v>
      </c>
      <c r="G19" s="6">
        <v>0.4363</v>
      </c>
      <c r="H19" s="10">
        <v>0.5355</v>
      </c>
      <c r="I19" s="6">
        <v>0.4572</v>
      </c>
      <c r="K19" s="6" t="s">
        <v>26</v>
      </c>
      <c r="L19" s="6">
        <v>0.8586</v>
      </c>
      <c r="M19" s="6">
        <v>0.8646</v>
      </c>
      <c r="N19" s="10">
        <v>0.8991</v>
      </c>
    </row>
    <row r="20">
      <c r="A20" s="6" t="s">
        <v>27</v>
      </c>
      <c r="B20" s="6">
        <v>0.7672</v>
      </c>
      <c r="C20" s="10">
        <v>0.7744</v>
      </c>
      <c r="D20" s="6">
        <v>0.7671</v>
      </c>
      <c r="F20" s="6" t="s">
        <v>26</v>
      </c>
      <c r="G20" s="6">
        <v>0.6207</v>
      </c>
      <c r="H20" s="10">
        <v>0.6608</v>
      </c>
      <c r="I20" s="6">
        <v>0.6042</v>
      </c>
      <c r="K20" s="6" t="s">
        <v>27</v>
      </c>
      <c r="L20" s="6">
        <v>0.757</v>
      </c>
      <c r="M20" s="10">
        <v>0.7913</v>
      </c>
      <c r="N20" s="6">
        <v>0.763</v>
      </c>
    </row>
    <row r="21">
      <c r="A21" s="6" t="s">
        <v>28</v>
      </c>
      <c r="B21" s="6">
        <v>0.7348</v>
      </c>
      <c r="C21" s="6">
        <v>0.628</v>
      </c>
      <c r="D21" s="10">
        <v>0.7569</v>
      </c>
      <c r="F21" s="6" t="s">
        <v>27</v>
      </c>
      <c r="G21" s="10">
        <v>0.8136</v>
      </c>
      <c r="H21" s="6">
        <v>0.8075</v>
      </c>
      <c r="I21" s="10">
        <v>0.8109</v>
      </c>
      <c r="K21" s="6" t="s">
        <v>28</v>
      </c>
      <c r="L21" s="6">
        <v>0.7608</v>
      </c>
      <c r="M21" s="6">
        <v>0.2895</v>
      </c>
      <c r="N21" s="10">
        <v>0.8142</v>
      </c>
    </row>
    <row r="22">
      <c r="F22" s="6" t="s">
        <v>28</v>
      </c>
      <c r="G22" s="6">
        <v>0.1226</v>
      </c>
      <c r="H22" s="10">
        <v>0.3143</v>
      </c>
      <c r="I22" s="6">
        <v>0.1257</v>
      </c>
    </row>
    <row r="23">
      <c r="B23" s="6">
        <v>5.0</v>
      </c>
      <c r="C23" s="6">
        <v>6.0</v>
      </c>
      <c r="D23" s="6">
        <v>12.0</v>
      </c>
      <c r="L23" s="6">
        <v>5.0</v>
      </c>
      <c r="M23" s="6">
        <v>7.0</v>
      </c>
      <c r="N23" s="6">
        <v>9.0</v>
      </c>
    </row>
    <row r="24">
      <c r="G24" s="6">
        <v>6.0</v>
      </c>
      <c r="H24" s="6">
        <v>12.0</v>
      </c>
      <c r="I24" s="6">
        <v>5.0</v>
      </c>
    </row>
  </sheetData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4.38"/>
    <col customWidth="1" min="9" max="9" width="13.25"/>
    <col customWidth="1" min="10" max="10" width="15.63"/>
  </cols>
  <sheetData>
    <row r="1" ht="22.5" customHeight="1">
      <c r="A1" s="14" t="s">
        <v>0</v>
      </c>
      <c r="B1" s="14" t="s">
        <v>8</v>
      </c>
      <c r="C1" s="14" t="s">
        <v>9</v>
      </c>
      <c r="D1" s="14" t="s">
        <v>10</v>
      </c>
      <c r="E1" s="14" t="s">
        <v>11</v>
      </c>
      <c r="G1" s="14" t="s">
        <v>0</v>
      </c>
      <c r="H1" s="14" t="s">
        <v>9</v>
      </c>
      <c r="I1" s="14" t="s">
        <v>10</v>
      </c>
      <c r="J1" s="14" t="s">
        <v>11</v>
      </c>
    </row>
    <row r="2" ht="22.5" customHeight="1">
      <c r="A2" s="15" t="s">
        <v>33</v>
      </c>
      <c r="B2" s="15">
        <v>0.9284</v>
      </c>
      <c r="C2" s="15">
        <v>0.595</v>
      </c>
      <c r="D2" s="15">
        <v>0.6714</v>
      </c>
      <c r="E2" s="15">
        <v>0.9476</v>
      </c>
      <c r="G2" s="15" t="s">
        <v>33</v>
      </c>
      <c r="H2" s="3">
        <f t="shared" ref="H2:J2" si="1">(C24-C2)/C2</f>
        <v>0.03361344538</v>
      </c>
      <c r="I2" s="3">
        <f t="shared" si="1"/>
        <v>0.05957700328</v>
      </c>
      <c r="J2" s="3">
        <f t="shared" si="1"/>
        <v>0.002954833263</v>
      </c>
    </row>
    <row r="3" ht="22.5" customHeight="1">
      <c r="A3" s="15" t="s">
        <v>34</v>
      </c>
      <c r="B3" s="15">
        <v>0.7692</v>
      </c>
      <c r="C3" s="15">
        <v>0.7615</v>
      </c>
      <c r="D3" s="15">
        <v>0.7816</v>
      </c>
      <c r="E3" s="15">
        <v>0.4755</v>
      </c>
      <c r="G3" s="15" t="s">
        <v>34</v>
      </c>
      <c r="H3" s="3">
        <f t="shared" ref="H3:J3" si="2">(C25-C3)/C3</f>
        <v>0.06487196323</v>
      </c>
      <c r="I3" s="3">
        <f t="shared" si="2"/>
        <v>0.07356704197</v>
      </c>
      <c r="J3" s="3">
        <f t="shared" si="2"/>
        <v>0.1289169295</v>
      </c>
    </row>
    <row r="4" ht="22.5" customHeight="1">
      <c r="A4" s="15" t="s">
        <v>35</v>
      </c>
      <c r="B4" s="15">
        <v>0.9284</v>
      </c>
      <c r="C4" s="15">
        <v>0.716</v>
      </c>
      <c r="D4" s="15">
        <v>0.7778</v>
      </c>
      <c r="E4" s="15">
        <v>0.1479</v>
      </c>
      <c r="G4" s="15" t="s">
        <v>35</v>
      </c>
      <c r="H4" s="3">
        <f t="shared" ref="H4:J4" si="3">(C26-C4)/C4</f>
        <v>0.1456703911</v>
      </c>
      <c r="I4" s="3">
        <f t="shared" si="3"/>
        <v>0.04757006943</v>
      </c>
      <c r="J4" s="3">
        <f t="shared" si="3"/>
        <v>0.7924273158</v>
      </c>
    </row>
    <row r="5" ht="22.5" customHeight="1">
      <c r="A5" s="15" t="s">
        <v>36</v>
      </c>
      <c r="B5" s="15">
        <v>0.7162</v>
      </c>
      <c r="C5" s="15">
        <v>0.7014</v>
      </c>
      <c r="D5" s="15">
        <v>0.7103</v>
      </c>
      <c r="E5" s="15">
        <v>0.478</v>
      </c>
      <c r="G5" s="15" t="s">
        <v>36</v>
      </c>
      <c r="H5" s="3">
        <f t="shared" ref="H5:J5" si="4">(C27-C5)/C5</f>
        <v>0.07413743941</v>
      </c>
      <c r="I5" s="3">
        <f t="shared" si="4"/>
        <v>0.02632690413</v>
      </c>
      <c r="J5" s="3">
        <f t="shared" si="4"/>
        <v>0.1824267782</v>
      </c>
    </row>
    <row r="6" ht="22.5" customHeight="1">
      <c r="A6" s="15" t="s">
        <v>37</v>
      </c>
      <c r="B6" s="15">
        <v>0.9682</v>
      </c>
      <c r="C6" s="15">
        <v>0.6553</v>
      </c>
      <c r="D6" s="15">
        <v>0.6438</v>
      </c>
      <c r="E6" s="15">
        <v>0.9833</v>
      </c>
      <c r="G6" s="15" t="s">
        <v>37</v>
      </c>
      <c r="H6" s="3">
        <f t="shared" ref="H6:J6" si="5">(C28-C6)/C6</f>
        <v>-0.1167404242</v>
      </c>
      <c r="I6" s="3">
        <f t="shared" si="5"/>
        <v>0.02127990059</v>
      </c>
      <c r="J6" s="3">
        <f t="shared" si="5"/>
        <v>-0.007830773925</v>
      </c>
    </row>
    <row r="7" ht="22.5" customHeight="1">
      <c r="A7" s="15" t="s">
        <v>38</v>
      </c>
      <c r="B7" s="15">
        <v>0.5305</v>
      </c>
      <c r="C7" s="15">
        <v>0.8337</v>
      </c>
      <c r="D7" s="15">
        <v>0.82</v>
      </c>
      <c r="E7" s="15">
        <v>0.8586</v>
      </c>
      <c r="G7" s="15" t="s">
        <v>38</v>
      </c>
      <c r="H7" s="3">
        <f t="shared" ref="H7:J7" si="6">(C29-C7)/C7</f>
        <v>0.04102195034</v>
      </c>
      <c r="I7" s="3">
        <f t="shared" si="6"/>
        <v>0.0487804878</v>
      </c>
      <c r="J7" s="3">
        <f t="shared" si="6"/>
        <v>0.03261122758</v>
      </c>
    </row>
    <row r="8" ht="22.5" customHeight="1">
      <c r="A8" s="15" t="s">
        <v>39</v>
      </c>
      <c r="B8" s="15">
        <v>0.9761</v>
      </c>
      <c r="C8" s="15">
        <v>0.4873</v>
      </c>
      <c r="D8" s="15">
        <v>0.6413</v>
      </c>
      <c r="E8" s="15">
        <v>0.9752</v>
      </c>
      <c r="G8" s="15" t="s">
        <v>39</v>
      </c>
      <c r="H8" s="3">
        <f t="shared" ref="H8:J8" si="7">(C30-C8)/C8</f>
        <v>0.07243997537</v>
      </c>
      <c r="I8" s="3">
        <f t="shared" si="7"/>
        <v>0.1102448152</v>
      </c>
      <c r="J8" s="3">
        <f t="shared" si="7"/>
        <v>0.002461033634</v>
      </c>
    </row>
    <row r="9" ht="22.5" customHeight="1">
      <c r="A9" s="15" t="s">
        <v>40</v>
      </c>
      <c r="B9" s="15">
        <v>0.7798</v>
      </c>
      <c r="C9" s="15">
        <v>0.6869</v>
      </c>
      <c r="D9" s="15">
        <v>0.6867</v>
      </c>
      <c r="E9" s="15">
        <v>0.3826</v>
      </c>
      <c r="G9" s="15" t="s">
        <v>40</v>
      </c>
      <c r="H9" s="3">
        <f t="shared" ref="H9:J9" si="8">(C31-C9)/C9</f>
        <v>0.2553501237</v>
      </c>
      <c r="I9" s="3">
        <f t="shared" si="8"/>
        <v>0.2632881899</v>
      </c>
      <c r="J9" s="3">
        <f t="shared" si="8"/>
        <v>0.6508102457</v>
      </c>
    </row>
    <row r="10" ht="22.5" customHeight="1">
      <c r="A10" s="15" t="s">
        <v>41</v>
      </c>
      <c r="B10" s="15">
        <v>0.9576</v>
      </c>
      <c r="C10" s="15">
        <v>0.7262</v>
      </c>
      <c r="D10" s="15">
        <v>0.8125</v>
      </c>
      <c r="E10" s="15">
        <v>0.0909</v>
      </c>
      <c r="G10" s="15" t="s">
        <v>41</v>
      </c>
      <c r="H10" s="3">
        <f t="shared" ref="H10:J10" si="9">(C32-C10)/C10</f>
        <v>0.1898925916</v>
      </c>
      <c r="I10" s="3">
        <f t="shared" si="9"/>
        <v>0.07692307692</v>
      </c>
      <c r="J10" s="3">
        <f t="shared" si="9"/>
        <v>1.299229923</v>
      </c>
    </row>
    <row r="11" ht="22.5" customHeight="1">
      <c r="A11" s="15" t="s">
        <v>42</v>
      </c>
      <c r="B11" s="15">
        <v>0.7268</v>
      </c>
      <c r="C11" s="15">
        <v>0.7552</v>
      </c>
      <c r="D11" s="15">
        <v>0.7184</v>
      </c>
      <c r="E11" s="15">
        <v>0.5649</v>
      </c>
      <c r="G11" s="15" t="s">
        <v>42</v>
      </c>
      <c r="H11" s="3">
        <f t="shared" ref="H11:J11" si="10">(C33-C11)/C11</f>
        <v>0.1253972458</v>
      </c>
      <c r="I11" s="3">
        <f t="shared" si="10"/>
        <v>0.202811804</v>
      </c>
      <c r="J11" s="3">
        <f t="shared" si="10"/>
        <v>0.1757833245</v>
      </c>
    </row>
    <row r="12" ht="22.5" customHeight="1">
      <c r="A12" s="15" t="s">
        <v>43</v>
      </c>
      <c r="B12" s="15">
        <v>0.9363</v>
      </c>
      <c r="C12" s="15">
        <v>0.7714</v>
      </c>
      <c r="D12" s="15">
        <v>0.9167</v>
      </c>
      <c r="E12" s="15">
        <v>0.1429</v>
      </c>
      <c r="G12" s="15" t="s">
        <v>43</v>
      </c>
      <c r="H12" s="3">
        <f t="shared" ref="H12:J12" si="11">(C34-C12)/C12</f>
        <v>0.144412756</v>
      </c>
      <c r="I12" s="3">
        <f t="shared" si="11"/>
        <v>0.04538016799</v>
      </c>
      <c r="J12" s="3">
        <f t="shared" si="11"/>
        <v>0.7683694892</v>
      </c>
    </row>
    <row r="13" ht="22.5" customHeight="1">
      <c r="A13" s="15" t="s">
        <v>44</v>
      </c>
      <c r="B13" s="15">
        <v>0.8886</v>
      </c>
      <c r="C13" s="15">
        <v>0.693</v>
      </c>
      <c r="D13" s="15">
        <v>0.6905</v>
      </c>
      <c r="E13" s="15">
        <v>0.2214</v>
      </c>
      <c r="G13" s="15" t="s">
        <v>44</v>
      </c>
      <c r="H13" s="3">
        <f t="shared" ref="H13:J13" si="12">(C35-C13)/C13</f>
        <v>0.2256854257</v>
      </c>
      <c r="I13" s="3">
        <f t="shared" si="12"/>
        <v>0.2758870384</v>
      </c>
      <c r="J13" s="3">
        <f t="shared" si="12"/>
        <v>0.7055103884</v>
      </c>
    </row>
    <row r="14" ht="22.5" customHeight="1">
      <c r="A14" s="15" t="s">
        <v>45</v>
      </c>
      <c r="B14" s="15">
        <v>0.7003</v>
      </c>
      <c r="C14" s="15">
        <v>0.8092</v>
      </c>
      <c r="D14" s="15">
        <v>0.823</v>
      </c>
      <c r="E14" s="15">
        <v>0.6327</v>
      </c>
      <c r="G14" s="15" t="s">
        <v>45</v>
      </c>
      <c r="H14" s="3">
        <f t="shared" ref="H14:J14" si="13">(C36-C14)/C14</f>
        <v>0.03435491844</v>
      </c>
      <c r="I14" s="3">
        <f t="shared" si="13"/>
        <v>0.02150668287</v>
      </c>
      <c r="J14" s="3">
        <f t="shared" si="13"/>
        <v>0.08029081713</v>
      </c>
    </row>
    <row r="15" ht="22.5" customHeight="1">
      <c r="A15" s="15" t="s">
        <v>46</v>
      </c>
      <c r="B15" s="15">
        <v>0.7984</v>
      </c>
      <c r="C15" s="15">
        <v>0.8411</v>
      </c>
      <c r="D15" s="15">
        <v>0.8947</v>
      </c>
      <c r="E15" s="15">
        <v>0.5152</v>
      </c>
      <c r="G15" s="15" t="s">
        <v>46</v>
      </c>
      <c r="H15" s="3">
        <f t="shared" ref="H15:J15" si="14">(C37-C15)/C15</f>
        <v>0.03923433599</v>
      </c>
      <c r="I15" s="3">
        <f t="shared" si="14"/>
        <v>0.02950709735</v>
      </c>
      <c r="J15" s="3">
        <f t="shared" si="14"/>
        <v>0.113742236</v>
      </c>
    </row>
    <row r="16" ht="22.5" customHeight="1">
      <c r="A16" s="15" t="s">
        <v>47</v>
      </c>
      <c r="B16" s="15">
        <v>0.8302</v>
      </c>
      <c r="C16" s="15">
        <v>0.7827</v>
      </c>
      <c r="D16" s="15">
        <v>0.8594</v>
      </c>
      <c r="E16" s="15">
        <v>0.3741</v>
      </c>
      <c r="G16" s="15" t="s">
        <v>47</v>
      </c>
      <c r="H16" s="3">
        <f t="shared" ref="H16:J16" si="15">(C38-C16)/C16</f>
        <v>0.03705123291</v>
      </c>
      <c r="I16" s="3">
        <f t="shared" si="15"/>
        <v>-0.01815219921</v>
      </c>
      <c r="J16" s="3">
        <f t="shared" si="15"/>
        <v>0.1734830259</v>
      </c>
    </row>
    <row r="17" ht="22.5" customHeight="1">
      <c r="A17" s="15" t="s">
        <v>48</v>
      </c>
      <c r="B17" s="15">
        <v>0.7692</v>
      </c>
      <c r="C17" s="15">
        <v>0.7914</v>
      </c>
      <c r="D17" s="15">
        <v>0.8621</v>
      </c>
      <c r="E17" s="15">
        <v>0.4808</v>
      </c>
      <c r="G17" s="15" t="s">
        <v>48</v>
      </c>
      <c r="H17" s="3">
        <f t="shared" ref="H17:J17" si="16">(C39-C17)/C17</f>
        <v>0.02678797068</v>
      </c>
      <c r="I17" s="3">
        <f t="shared" si="16"/>
        <v>-0.06669759889</v>
      </c>
      <c r="J17" s="3">
        <f t="shared" si="16"/>
        <v>0.1934276206</v>
      </c>
    </row>
    <row r="18" ht="22.5" customHeight="1">
      <c r="A18" s="15" t="s">
        <v>49</v>
      </c>
      <c r="B18" s="15">
        <v>0.5623</v>
      </c>
      <c r="C18" s="15">
        <v>0.6837</v>
      </c>
      <c r="D18" s="15">
        <v>0.6462</v>
      </c>
      <c r="E18" s="15">
        <v>0.7486</v>
      </c>
      <c r="G18" s="15" t="s">
        <v>49</v>
      </c>
      <c r="H18" s="3">
        <f t="shared" ref="H18:J18" si="17">(C40-C18)/C18</f>
        <v>0.07488664619</v>
      </c>
      <c r="I18" s="3">
        <f t="shared" si="17"/>
        <v>0.1679046735</v>
      </c>
      <c r="J18" s="3">
        <f t="shared" si="17"/>
        <v>0.03246059311</v>
      </c>
    </row>
    <row r="19" ht="22.5" customHeight="1">
      <c r="A19" s="15" t="s">
        <v>50</v>
      </c>
      <c r="B19" s="15">
        <v>0.9496</v>
      </c>
      <c r="C19" s="15">
        <v>0.7353</v>
      </c>
      <c r="D19" s="15">
        <v>0.8421</v>
      </c>
      <c r="E19" s="15">
        <v>0.1074</v>
      </c>
      <c r="G19" s="15" t="s">
        <v>50</v>
      </c>
      <c r="H19" s="3">
        <f t="shared" ref="H19:J19" si="18">(C41-C19)/C19</f>
        <v>0.005983952128</v>
      </c>
      <c r="I19" s="3">
        <f t="shared" si="18"/>
        <v>-0.06246289039</v>
      </c>
      <c r="J19" s="3">
        <f t="shared" si="18"/>
        <v>0.1080074488</v>
      </c>
    </row>
    <row r="23">
      <c r="A23" s="16" t="s">
        <v>0</v>
      </c>
      <c r="B23" s="16" t="s">
        <v>8</v>
      </c>
      <c r="C23" s="16" t="s">
        <v>9</v>
      </c>
      <c r="D23" s="16" t="s">
        <v>10</v>
      </c>
      <c r="E23" s="16" t="s">
        <v>11</v>
      </c>
    </row>
    <row r="24">
      <c r="A24" s="16" t="s">
        <v>33</v>
      </c>
      <c r="B24" s="16">
        <v>0.9284</v>
      </c>
      <c r="C24" s="16">
        <v>0.615</v>
      </c>
      <c r="D24" s="16">
        <v>0.7114</v>
      </c>
      <c r="E24" s="16">
        <v>0.9504</v>
      </c>
    </row>
    <row r="25">
      <c r="A25" s="16" t="s">
        <v>34</v>
      </c>
      <c r="B25" s="16">
        <v>0.7692</v>
      </c>
      <c r="C25" s="16">
        <v>0.8109</v>
      </c>
      <c r="D25" s="16">
        <v>0.8391</v>
      </c>
      <c r="E25" s="16">
        <v>0.5368</v>
      </c>
    </row>
    <row r="26">
      <c r="A26" s="16" t="s">
        <v>35</v>
      </c>
      <c r="B26" s="16">
        <v>0.9284</v>
      </c>
      <c r="C26" s="16">
        <v>0.8203</v>
      </c>
      <c r="D26" s="16">
        <v>0.8148</v>
      </c>
      <c r="E26" s="16">
        <v>0.2651</v>
      </c>
    </row>
    <row r="27">
      <c r="A27" s="16" t="s">
        <v>36</v>
      </c>
      <c r="B27" s="16">
        <v>0.7162</v>
      </c>
      <c r="C27" s="16">
        <v>0.7534</v>
      </c>
      <c r="D27" s="16">
        <v>0.729</v>
      </c>
      <c r="E27" s="16">
        <v>0.5652</v>
      </c>
    </row>
    <row r="28">
      <c r="A28" s="16" t="s">
        <v>37</v>
      </c>
      <c r="B28" s="16">
        <v>0.9682</v>
      </c>
      <c r="C28" s="16">
        <v>0.5788</v>
      </c>
      <c r="D28" s="16">
        <v>0.6575</v>
      </c>
      <c r="E28" s="16">
        <v>0.9756</v>
      </c>
    </row>
    <row r="29">
      <c r="A29" s="16" t="s">
        <v>38</v>
      </c>
      <c r="B29" s="16">
        <v>0.5305</v>
      </c>
      <c r="C29" s="16">
        <v>0.8679</v>
      </c>
      <c r="D29" s="16">
        <v>0.86</v>
      </c>
      <c r="E29" s="16">
        <v>0.8866</v>
      </c>
    </row>
    <row r="30">
      <c r="A30" s="16" t="s">
        <v>39</v>
      </c>
      <c r="B30" s="16">
        <v>0.9761</v>
      </c>
      <c r="C30" s="16">
        <v>0.5226</v>
      </c>
      <c r="D30" s="16">
        <v>0.712</v>
      </c>
      <c r="E30" s="16">
        <v>0.9776</v>
      </c>
    </row>
    <row r="31">
      <c r="A31" s="16" t="s">
        <v>40</v>
      </c>
      <c r="B31" s="16">
        <v>0.7798</v>
      </c>
      <c r="C31" s="16">
        <v>0.8623</v>
      </c>
      <c r="D31" s="16">
        <v>0.8675</v>
      </c>
      <c r="E31" s="16">
        <v>0.6316</v>
      </c>
    </row>
    <row r="32">
      <c r="A32" s="16" t="s">
        <v>41</v>
      </c>
      <c r="B32" s="16">
        <v>0.9576</v>
      </c>
      <c r="C32" s="16">
        <v>0.8641</v>
      </c>
      <c r="D32" s="16">
        <v>0.875</v>
      </c>
      <c r="E32" s="16">
        <v>0.209</v>
      </c>
    </row>
    <row r="33">
      <c r="A33" s="16" t="s">
        <v>42</v>
      </c>
      <c r="B33" s="16">
        <v>0.7268</v>
      </c>
      <c r="C33" s="16">
        <v>0.8499</v>
      </c>
      <c r="D33" s="16">
        <v>0.8641</v>
      </c>
      <c r="E33" s="16">
        <v>0.6642</v>
      </c>
    </row>
    <row r="34">
      <c r="A34" s="16" t="s">
        <v>43</v>
      </c>
      <c r="B34" s="16">
        <v>0.9363</v>
      </c>
      <c r="C34" s="16">
        <v>0.8828</v>
      </c>
      <c r="D34" s="16">
        <v>0.9583</v>
      </c>
      <c r="E34" s="16">
        <v>0.2527</v>
      </c>
    </row>
    <row r="35">
      <c r="A35" s="16" t="s">
        <v>44</v>
      </c>
      <c r="B35" s="16">
        <v>0.8886</v>
      </c>
      <c r="C35" s="16">
        <v>0.8494</v>
      </c>
      <c r="D35" s="16">
        <v>0.881</v>
      </c>
      <c r="E35" s="16">
        <v>0.3776</v>
      </c>
    </row>
    <row r="36">
      <c r="A36" s="16" t="s">
        <v>45</v>
      </c>
      <c r="B36" s="16">
        <v>0.7003</v>
      </c>
      <c r="C36" s="16">
        <v>0.837</v>
      </c>
      <c r="D36" s="16">
        <v>0.8407</v>
      </c>
      <c r="E36" s="16">
        <v>0.6835</v>
      </c>
    </row>
    <row r="37">
      <c r="A37" s="16" t="s">
        <v>46</v>
      </c>
      <c r="B37" s="16">
        <v>0.7984</v>
      </c>
      <c r="C37" s="16">
        <v>0.8741</v>
      </c>
      <c r="D37" s="16">
        <v>0.9211</v>
      </c>
      <c r="E37" s="16">
        <v>0.5738</v>
      </c>
    </row>
    <row r="38">
      <c r="A38" s="16" t="s">
        <v>47</v>
      </c>
      <c r="B38" s="16">
        <v>0.8302</v>
      </c>
      <c r="C38" s="16">
        <v>0.8117</v>
      </c>
      <c r="D38" s="16">
        <v>0.8438</v>
      </c>
      <c r="E38" s="16">
        <v>0.439</v>
      </c>
    </row>
    <row r="39">
      <c r="A39" s="16" t="s">
        <v>48</v>
      </c>
      <c r="B39" s="16">
        <v>0.7692</v>
      </c>
      <c r="C39" s="16">
        <v>0.8126</v>
      </c>
      <c r="D39" s="16">
        <v>0.8046</v>
      </c>
      <c r="E39" s="16">
        <v>0.5738</v>
      </c>
    </row>
    <row r="40">
      <c r="A40" s="16" t="s">
        <v>49</v>
      </c>
      <c r="B40" s="16">
        <v>0.5623</v>
      </c>
      <c r="C40" s="16">
        <v>0.7349</v>
      </c>
      <c r="D40" s="16">
        <v>0.7547</v>
      </c>
      <c r="E40" s="16">
        <v>0.7729</v>
      </c>
    </row>
    <row r="41">
      <c r="A41" s="16" t="s">
        <v>50</v>
      </c>
      <c r="B41" s="16">
        <v>0.9496</v>
      </c>
      <c r="C41" s="16">
        <v>0.7397</v>
      </c>
      <c r="D41" s="16">
        <v>0.7895</v>
      </c>
      <c r="E41" s="16">
        <v>0.119</v>
      </c>
    </row>
  </sheetData>
  <conditionalFormatting sqref="H2:J19">
    <cfRule type="cellIs" dxfId="5" priority="1" operator="greaterThan">
      <formula>0</formula>
    </cfRule>
  </conditionalFormatting>
  <conditionalFormatting sqref="H2:J19">
    <cfRule type="cellIs" dxfId="7" priority="2" operator="lessThan">
      <formula>0</formula>
    </cfRule>
  </conditionalFormatting>
  <dataValidations>
    <dataValidation type="custom" allowBlank="1" showDropDown="1" sqref="H2:J19">
      <formula1>AND(ISNUMBER(H2),(NOT(OR(NOT(ISERROR(DATEVALUE(H2))), AND(ISNUMBER(H2), LEFT(CELL("format", H2))="D")))))</formula1>
    </dataValidation>
  </dataValidations>
  <drawing r:id="rId1"/>
  <tableParts count="2">
    <tablePart r:id="rId4"/>
    <tablePart r:id="rId5"/>
  </tableParts>
</worksheet>
</file>